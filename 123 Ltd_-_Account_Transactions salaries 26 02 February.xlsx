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https://d.docs.live.net/4e272c25259e92d1/програмирование/Study and work projects/"/>
    </mc:Choice>
  </mc:AlternateContent>
  <xr:revisionPtr revIDLastSave="17" documentId="13_ncr:1_{43E4405B-4278-4857-9F58-F94F597F2B0D}" xr6:coauthVersionLast="47" xr6:coauthVersionMax="47" xr10:uidLastSave="{36736AB2-DE3C-41E7-980E-17B299442F36}"/>
  <bookViews>
    <workbookView xWindow="-110" yWindow="-110" windowWidth="22620" windowHeight="13500" tabRatio="836" xr2:uid="{5CA7A466-5D11-4DC3-8AD2-12C105CBAE85}"/>
  </bookViews>
  <sheets>
    <sheet name="wages HMRC control" sheetId="7" r:id="rId1"/>
    <sheet name="Dep extended" sheetId="2" r:id="rId2"/>
    <sheet name="Dep Additions" sheetId="3" r:id="rId3"/>
    <sheet name="Dep Pension contributions" sheetId="4" r:id="rId4"/>
    <sheet name="Dep Tax and NIC" sheetId="5" r:id="rId5"/>
    <sheet name="Dep  Subs and Loans" sheetId="8" r:id="rId6"/>
  </sheets>
  <definedNames>
    <definedName name="_xlnm.Print_Area" localSheetId="0">'wages HMRC control'!$A$2:$G$79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9" i="7" l="1"/>
  <c r="O55" i="7"/>
  <c r="G39" i="7" s="1"/>
  <c r="P55" i="7"/>
  <c r="G40" i="7" s="1"/>
  <c r="Q55" i="7"/>
  <c r="G41" i="7" s="1"/>
  <c r="R55" i="7"/>
  <c r="G42" i="7" s="1"/>
  <c r="N55" i="7"/>
  <c r="G38" i="7" s="1"/>
  <c r="N54" i="7"/>
  <c r="O54" i="7"/>
  <c r="P54" i="7"/>
  <c r="Q54" i="7"/>
  <c r="R54" i="7"/>
  <c r="N39" i="7"/>
  <c r="S54" i="7" l="1"/>
  <c r="S55" i="7"/>
  <c r="S44" i="7"/>
  <c r="S49" i="7"/>
  <c r="S40" i="7"/>
  <c r="G53" i="7" s="1"/>
  <c r="S52" i="7"/>
  <c r="V11" i="7"/>
  <c r="U39" i="7"/>
  <c r="R39" i="7"/>
  <c r="U32" i="7"/>
  <c r="U34" i="7"/>
  <c r="U33" i="7"/>
  <c r="R33" i="7"/>
  <c r="U26" i="7"/>
  <c r="U27" i="7"/>
  <c r="U28" i="7"/>
  <c r="V29" i="7"/>
  <c r="U25" i="7"/>
  <c r="R25" i="7"/>
  <c r="F22" i="7" s="1"/>
  <c r="U22" i="7"/>
  <c r="U21" i="7"/>
  <c r="U20" i="7"/>
  <c r="U19" i="7"/>
  <c r="U18" i="7"/>
  <c r="U17" i="7"/>
  <c r="U16" i="7"/>
  <c r="U14" i="7"/>
  <c r="U13" i="7"/>
  <c r="U12" i="7"/>
  <c r="U9" i="7"/>
  <c r="U10" i="7"/>
  <c r="U6" i="7"/>
  <c r="U5" i="7"/>
  <c r="N5" i="7"/>
  <c r="N25" i="7"/>
  <c r="F18" i="7" s="1"/>
  <c r="P17" i="7"/>
  <c r="Q17" i="7"/>
  <c r="R17" i="7"/>
  <c r="P18" i="7"/>
  <c r="Q18" i="7"/>
  <c r="R18" i="7"/>
  <c r="P19" i="7"/>
  <c r="Q19" i="7"/>
  <c r="R19" i="7"/>
  <c r="R16" i="7"/>
  <c r="Q16" i="7"/>
  <c r="P16" i="7"/>
  <c r="O17" i="7"/>
  <c r="O18" i="7"/>
  <c r="O19" i="7"/>
  <c r="O16" i="7"/>
  <c r="N19" i="7"/>
  <c r="N18" i="7"/>
  <c r="N17" i="7"/>
  <c r="N16" i="7"/>
  <c r="N14" i="7"/>
  <c r="R10" i="7"/>
  <c r="F37" i="7" s="1"/>
  <c r="Q10" i="7"/>
  <c r="F36" i="7" s="1"/>
  <c r="P10" i="7"/>
  <c r="F35" i="7" s="1"/>
  <c r="O10" i="7"/>
  <c r="F34" i="7" s="1"/>
  <c r="N10" i="7"/>
  <c r="F33" i="7" s="1"/>
  <c r="R9" i="7"/>
  <c r="Q9" i="7"/>
  <c r="P9" i="7"/>
  <c r="O9" i="7"/>
  <c r="N9" i="7"/>
  <c r="N6" i="7"/>
  <c r="Q39" i="7"/>
  <c r="F62" i="7" s="1"/>
  <c r="P39" i="7"/>
  <c r="F61" i="7" s="1"/>
  <c r="O39" i="7"/>
  <c r="F60" i="7" s="1"/>
  <c r="F59" i="7"/>
  <c r="R21" i="7"/>
  <c r="R20" i="7"/>
  <c r="Q21" i="7"/>
  <c r="Q20" i="7"/>
  <c r="P21" i="7"/>
  <c r="P20" i="7"/>
  <c r="O21" i="7"/>
  <c r="O20" i="7"/>
  <c r="N21" i="7"/>
  <c r="N20" i="7"/>
  <c r="R34" i="7"/>
  <c r="Q34" i="7"/>
  <c r="Q33" i="7"/>
  <c r="P34" i="7"/>
  <c r="P33" i="7"/>
  <c r="O34" i="7"/>
  <c r="O33" i="7"/>
  <c r="N34" i="7"/>
  <c r="N33" i="7"/>
  <c r="N27" i="7"/>
  <c r="S27" i="7" s="1"/>
  <c r="S32" i="7"/>
  <c r="G45" i="7" s="1"/>
  <c r="G51" i="7" s="1"/>
  <c r="R11" i="7"/>
  <c r="F32" i="7" s="1"/>
  <c r="Q11" i="7"/>
  <c r="F31" i="7" s="1"/>
  <c r="P11" i="7"/>
  <c r="F30" i="7" s="1"/>
  <c r="O11" i="7"/>
  <c r="F29" i="7" s="1"/>
  <c r="N11" i="7"/>
  <c r="F28" i="7" s="1"/>
  <c r="R28" i="7"/>
  <c r="F27" i="7" s="1"/>
  <c r="Q28" i="7"/>
  <c r="F26" i="7" s="1"/>
  <c r="P28" i="7"/>
  <c r="F25" i="7" s="1"/>
  <c r="O28" i="7"/>
  <c r="F24" i="7" s="1"/>
  <c r="N28" i="7"/>
  <c r="F23" i="7" s="1"/>
  <c r="S22" i="7"/>
  <c r="G4" i="7" s="1"/>
  <c r="G43" i="7" s="1"/>
  <c r="Q25" i="7"/>
  <c r="F21" i="7" s="1"/>
  <c r="P25" i="7"/>
  <c r="F20" i="7" s="1"/>
  <c r="O25" i="7"/>
  <c r="F19" i="7" s="1"/>
  <c r="R26" i="7"/>
  <c r="F17" i="7" s="1"/>
  <c r="Q26" i="7"/>
  <c r="F16" i="7" s="1"/>
  <c r="P26" i="7"/>
  <c r="F15" i="7" s="1"/>
  <c r="O26" i="7"/>
  <c r="F14" i="7" s="1"/>
  <c r="N26" i="7"/>
  <c r="F13" i="7" s="1"/>
  <c r="Q13" i="7"/>
  <c r="Q12" i="7"/>
  <c r="Q14" i="7"/>
  <c r="Q6" i="7"/>
  <c r="Q5" i="7"/>
  <c r="R14" i="7"/>
  <c r="R13" i="7"/>
  <c r="R12" i="7"/>
  <c r="P13" i="7"/>
  <c r="P14" i="7"/>
  <c r="P12" i="7"/>
  <c r="O13" i="7"/>
  <c r="O14" i="7"/>
  <c r="O12" i="7"/>
  <c r="N13" i="7"/>
  <c r="N12" i="7"/>
  <c r="R6" i="7"/>
  <c r="P6" i="7"/>
  <c r="O6" i="7"/>
  <c r="R5" i="7"/>
  <c r="P5" i="7"/>
  <c r="O5" i="7"/>
  <c r="F57" i="7" l="1"/>
  <c r="S56" i="7"/>
  <c r="F78" i="7"/>
  <c r="F74" i="7"/>
  <c r="F58" i="7"/>
  <c r="F75" i="7"/>
  <c r="F56" i="7"/>
  <c r="V22" i="7"/>
  <c r="S16" i="7"/>
  <c r="V16" i="7" s="1"/>
  <c r="F48" i="7"/>
  <c r="F5" i="7"/>
  <c r="F54" i="7"/>
  <c r="F49" i="7"/>
  <c r="V27" i="7"/>
  <c r="V32" i="7"/>
  <c r="O52" i="7"/>
  <c r="O49" i="7" s="1"/>
  <c r="F70" i="7" s="1"/>
  <c r="F9" i="7"/>
  <c r="N52" i="7"/>
  <c r="N49" i="7" s="1"/>
  <c r="F69" i="7" s="1"/>
  <c r="P52" i="7"/>
  <c r="P49" i="7" s="1"/>
  <c r="F71" i="7" s="1"/>
  <c r="Q52" i="7"/>
  <c r="Q49" i="7" s="1"/>
  <c r="F72" i="7" s="1"/>
  <c r="F55" i="7"/>
  <c r="R52" i="7"/>
  <c r="R49" i="7" s="1"/>
  <c r="F73" i="7" s="1"/>
  <c r="F47" i="7"/>
  <c r="S9" i="7"/>
  <c r="V9" i="7" s="1"/>
  <c r="F77" i="7"/>
  <c r="S14" i="7"/>
  <c r="V14" i="7" s="1"/>
  <c r="F50" i="7"/>
  <c r="F6" i="7"/>
  <c r="S33" i="7"/>
  <c r="V33" i="7" s="1"/>
  <c r="S18" i="7"/>
  <c r="V18" i="7" s="1"/>
  <c r="S19" i="7"/>
  <c r="V19" i="7" s="1"/>
  <c r="F46" i="7"/>
  <c r="S12" i="7"/>
  <c r="V12" i="7" s="1"/>
  <c r="S39" i="7"/>
  <c r="S46" i="7" s="1"/>
  <c r="S34" i="7"/>
  <c r="V34" i="7" s="1"/>
  <c r="F7" i="7"/>
  <c r="S13" i="7"/>
  <c r="V13" i="7" s="1"/>
  <c r="F76" i="7"/>
  <c r="S20" i="7"/>
  <c r="V20" i="7" s="1"/>
  <c r="S21" i="7"/>
  <c r="V21" i="7" s="1"/>
  <c r="F8" i="7"/>
  <c r="S10" i="7"/>
  <c r="V10" i="7" s="1"/>
  <c r="S17" i="7"/>
  <c r="V17" i="7" s="1"/>
  <c r="S5" i="7"/>
  <c r="V5" i="7" s="1"/>
  <c r="F63" i="7"/>
  <c r="S6" i="7"/>
  <c r="V6" i="7" s="1"/>
  <c r="S26" i="7"/>
  <c r="V26" i="7" s="1"/>
  <c r="S25" i="7"/>
  <c r="V25" i="7" s="1"/>
  <c r="F12" i="7"/>
  <c r="S28" i="7"/>
  <c r="V28" i="7" s="1"/>
  <c r="F43" i="7" l="1"/>
  <c r="F51" i="7"/>
  <c r="F79" i="7"/>
  <c r="H51" i="7"/>
  <c r="Q46" i="7"/>
  <c r="P46" i="7"/>
  <c r="V39" i="7"/>
  <c r="N46" i="7"/>
  <c r="O46" i="7"/>
  <c r="R46" i="7"/>
  <c r="H43" i="7"/>
  <c r="N44" i="7" l="1"/>
  <c r="G64" i="7" s="1"/>
  <c r="R44" i="7"/>
  <c r="G68" i="7" s="1"/>
  <c r="O44" i="7"/>
  <c r="G65" i="7" s="1"/>
  <c r="P44" i="7"/>
  <c r="G66" i="7" s="1"/>
  <c r="Q44" i="7"/>
  <c r="G67" i="7" s="1"/>
  <c r="F81" i="7"/>
  <c r="G79" i="7" l="1"/>
  <c r="G81" i="7" s="1"/>
  <c r="H79" i="7" l="1"/>
</calcChain>
</file>

<file path=xl/sharedStrings.xml><?xml version="1.0" encoding="utf-8"?>
<sst xmlns="http://schemas.openxmlformats.org/spreadsheetml/2006/main" count="766" uniqueCount="131">
  <si>
    <t>by department</t>
  </si>
  <si>
    <t>Wages control</t>
  </si>
  <si>
    <t>Directors remuneration</t>
  </si>
  <si>
    <t>All locations</t>
  </si>
  <si>
    <t>Salaries</t>
  </si>
  <si>
    <t>Additions</t>
  </si>
  <si>
    <t>Directors loan acc</t>
  </si>
  <si>
    <t>Mileage</t>
  </si>
  <si>
    <t>Expenses</t>
  </si>
  <si>
    <t>Parenting Pay</t>
  </si>
  <si>
    <t>Pensions Costs - Staff</t>
  </si>
  <si>
    <t>HMRC control</t>
  </si>
  <si>
    <t>Employees NI</t>
  </si>
  <si>
    <t>IT, NICee</t>
  </si>
  <si>
    <t>Employer NI</t>
  </si>
  <si>
    <t>NICer</t>
  </si>
  <si>
    <t>Employers NI</t>
  </si>
  <si>
    <t>Employers NI allowance</t>
  </si>
  <si>
    <t>SMP/SPP Recovery</t>
  </si>
  <si>
    <t>Student loan deductions/Postgrad Loan Repayments</t>
  </si>
  <si>
    <t>RTI Full Payment Submission (FPS)</t>
  </si>
  <si>
    <t>Department Summary, Layout: Extended</t>
  </si>
  <si>
    <t xml:space="preserve"> </t>
  </si>
  <si>
    <t xml:space="preserve">    Department</t>
  </si>
  <si>
    <t xml:space="preserve">  Tax Code</t>
  </si>
  <si>
    <t xml:space="preserve">  Total Payments</t>
  </si>
  <si>
    <t xml:space="preserve">  Basic Pay</t>
  </si>
  <si>
    <t>Total Hourly Pay</t>
  </si>
  <si>
    <t xml:space="preserve">  Total Hours</t>
  </si>
  <si>
    <t xml:space="preserve">  Total Additions</t>
  </si>
  <si>
    <t xml:space="preserve">  Parenting Pay</t>
  </si>
  <si>
    <t>Pension Employee Contribution</t>
  </si>
  <si>
    <t>Student Loan Repayment</t>
  </si>
  <si>
    <t>Postgrad Loan Repayment</t>
  </si>
  <si>
    <t xml:space="preserve">  Employee NIC</t>
  </si>
  <si>
    <t xml:space="preserve">  Tax Deducted</t>
  </si>
  <si>
    <t xml:space="preserve">  Net Pay</t>
  </si>
  <si>
    <t xml:space="preserve">     Total Default</t>
  </si>
  <si>
    <t>Total</t>
  </si>
  <si>
    <t>Employer Totals:</t>
  </si>
  <si>
    <t>PAYE Month</t>
  </si>
  <si>
    <t>Total Net Pay</t>
  </si>
  <si>
    <t>TAX:</t>
  </si>
  <si>
    <t xml:space="preserve">     PAYE Tax</t>
  </si>
  <si>
    <t xml:space="preserve">     Student Loan Repayments</t>
  </si>
  <si>
    <t xml:space="preserve">     Total Tax Due</t>
  </si>
  <si>
    <t>NIC:</t>
  </si>
  <si>
    <t xml:space="preserve">     Employee NIC</t>
  </si>
  <si>
    <t xml:space="preserve">     Employer NIC</t>
  </si>
  <si>
    <t xml:space="preserve">     SMP/SPP Recovery</t>
  </si>
  <si>
    <t xml:space="preserve">     Total NIC Due</t>
  </si>
  <si>
    <t>Total Tax &amp; NIC Due</t>
  </si>
  <si>
    <t>HMRC ACCOUNT:</t>
  </si>
  <si>
    <t>OTHER PAYMENTS:</t>
  </si>
  <si>
    <t xml:space="preserve">     Employee Pension Contributions</t>
  </si>
  <si>
    <t xml:space="preserve">     Employer Pension Contributions</t>
  </si>
  <si>
    <t xml:space="preserve">     Total Other Payments</t>
  </si>
  <si>
    <t>TOTAL NET OUTLAY</t>
  </si>
  <si>
    <t>Amounts shown in the PAYE Month column are the totals for all the pay periods in that PAYE Month.</t>
  </si>
  <si>
    <t>Department Summary, Layout: Additions</t>
  </si>
  <si>
    <t xml:space="preserve">    Expenses</t>
  </si>
  <si>
    <t xml:space="preserve">    Mileage</t>
  </si>
  <si>
    <t>Director Loan Drawdown</t>
  </si>
  <si>
    <t xml:space="preserve">    Additions</t>
  </si>
  <si>
    <t>Department Summary, Layout: Pension Contributions</t>
  </si>
  <si>
    <t>Pension Employer Contribution</t>
  </si>
  <si>
    <t>Pension Total Contribution</t>
  </si>
  <si>
    <t>Total Employee Pension</t>
  </si>
  <si>
    <t>Total Employer Pension</t>
  </si>
  <si>
    <t>Total Pension Contributions</t>
  </si>
  <si>
    <t>Department Summary, Layout: Tax &amp; NIC</t>
  </si>
  <si>
    <t>NI Table Letter</t>
  </si>
  <si>
    <t xml:space="preserve">    Deductions</t>
  </si>
  <si>
    <t xml:space="preserve">  Employer NIC</t>
  </si>
  <si>
    <t>rows</t>
  </si>
  <si>
    <t>2+3-6-7-8-9-10</t>
  </si>
  <si>
    <t>16+17</t>
  </si>
  <si>
    <t>7+8</t>
  </si>
  <si>
    <t>check</t>
  </si>
  <si>
    <t>pension</t>
  </si>
  <si>
    <t>proportion from paternity pay</t>
  </si>
  <si>
    <t>Total per Journal</t>
  </si>
  <si>
    <t>Payrolled Car Benefits for:</t>
  </si>
  <si>
    <t xml:space="preserve">     NIC Employment Allowance</t>
  </si>
  <si>
    <t>The figures in this report are based on the data contained in your payroll file NOW.  If you have made changes to your data since submitting the  RTI return for this period then the figures in this report may be different from those sent to HMRC originally.</t>
  </si>
  <si>
    <t xml:space="preserve">    Backpay/owed</t>
  </si>
  <si>
    <t>The figures in this report are based on the data contained in your payroll file NOW.  If you have  made changes to your data since submitting the RTI return for this period then the figures in this  report may be different from those sent to HMRC originally.</t>
  </si>
  <si>
    <t xml:space="preserve">  Holiday Pay</t>
  </si>
  <si>
    <t xml:space="preserve">  Sick Pay</t>
  </si>
  <si>
    <t xml:space="preserve">    Attachments</t>
  </si>
  <si>
    <t xml:space="preserve">  Payroll Giving</t>
  </si>
  <si>
    <t>Childcare from employee</t>
  </si>
  <si>
    <t xml:space="preserve">  Total Deductions</t>
  </si>
  <si>
    <t xml:space="preserve">  Over- Payment</t>
  </si>
  <si>
    <t xml:space="preserve">  Rounding Addition</t>
  </si>
  <si>
    <t xml:space="preserve">  User-Defined Addition</t>
  </si>
  <si>
    <t xml:space="preserve">  Bonus </t>
  </si>
  <si>
    <t>Loan repayment (overpayment)</t>
  </si>
  <si>
    <t xml:space="preserve">     Tax &amp; NIC due for Feb-2026</t>
  </si>
  <si>
    <t xml:space="preserve">     Payment for Feb-2026</t>
  </si>
  <si>
    <t xml:space="preserve">     Balance carried forward to Mar-2026</t>
  </si>
  <si>
    <t xml:space="preserve">     Loans advanced</t>
  </si>
  <si>
    <t xml:space="preserve">     NET OUTLAY incl Loans</t>
  </si>
  <si>
    <t>20+21 (9+10)</t>
  </si>
  <si>
    <t>Employer NIC %</t>
  </si>
  <si>
    <t>Dep extended</t>
  </si>
  <si>
    <t>Dep Additions</t>
  </si>
  <si>
    <t>Dep Pension contributions</t>
  </si>
  <si>
    <t>Dep Tax and NIC</t>
  </si>
  <si>
    <t>from tables</t>
  </si>
  <si>
    <t>Sick pay</t>
  </si>
  <si>
    <t>Parenting Pay %</t>
  </si>
  <si>
    <t>Department Summary, Layout: Subs &amp; Loans</t>
  </si>
  <si>
    <t xml:space="preserve">  Department</t>
  </si>
  <si>
    <t xml:space="preserve">  Loans</t>
  </si>
  <si>
    <t>Loans Repayment</t>
  </si>
  <si>
    <t>Loans Balance</t>
  </si>
  <si>
    <t>Dep  Subs and Loans</t>
  </si>
  <si>
    <t>Balance</t>
  </si>
  <si>
    <t>Data from RTI</t>
  </si>
  <si>
    <t xml:space="preserve">     Total Bristol</t>
  </si>
  <si>
    <t>Bristol</t>
  </si>
  <si>
    <t xml:space="preserve">     Total Bath</t>
  </si>
  <si>
    <t>Bath</t>
  </si>
  <si>
    <t xml:space="preserve">     Total Exeter</t>
  </si>
  <si>
    <t>Exeter</t>
  </si>
  <si>
    <t xml:space="preserve">     Total Plymouth</t>
  </si>
  <si>
    <t>Plymouth</t>
  </si>
  <si>
    <t>John Smith: BMW IX I20</t>
  </si>
  <si>
    <t>1234ABC Limited 2025-26</t>
  </si>
  <si>
    <t xml:space="preserve">1234ABC Limited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</si>
</sst>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9"/>
      <color theme="1"/>
      <name val="Arial"/>
      <family val="2"/>
    </font>
    <font>
      <sz val="9"/>
      <name val="Arial"/>
      <family val="2"/>
    </font>
    <font>
      <b/>
      <sz val="11"/>
      <color theme="0"/>
      <name val="Aptos Narrow"/>
      <family val="2"/>
      <scheme val="minor"/>
    </font>
    <font>
      <sz val="11"/>
      <color theme="1"/>
      <name val="Aptos Narrow"/>
      <family val="2"/>
      <scheme val="minor"/>
    </font>
    <font>
      <b/>
      <sz val="14"/>
      <color theme="0"/>
      <name val="Aptos Narrow"/>
      <family val="2"/>
      <scheme val="minor"/>
    </font>
    <font>
      <sz val="14"/>
      <color theme="1"/>
      <name val="Arial"/>
      <family val="2"/>
    </font>
    <font>
      <b/>
      <sz val="20"/>
      <color theme="1"/>
      <name val="Aptos Narrow"/>
      <family val="2"/>
      <scheme val="minor"/>
    </font>
    <font>
      <b/>
      <sz val="16"/>
      <color theme="1"/>
      <name val="Aptos Narrow"/>
      <family val="2"/>
      <scheme val="minor"/>
    </font>
  </fonts>
  <fills count="10">
    <fill>
      <patternFill patternType="none"/>
    </fill>
    <fill>
      <patternFill patternType="gray125"/>
    </fill>
    <fill>
      <patternFill patternType="solid">
        <fgColor rgb="FF0070C0"/>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1" tint="4.9989318521683403E-2"/>
        <bgColor indexed="64"/>
      </patternFill>
    </fill>
  </fills>
  <borders count="18">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s>
  <cellStyleXfs count="2">
    <xf numFmtId="0" fontId="0" fillId="0" borderId="0"/>
    <xf numFmtId="9" fontId="4" fillId="0" borderId="0" applyFont="0" applyFill="0" applyBorder="0" applyAlignment="0" applyProtection="0"/>
  </cellStyleXfs>
  <cellXfs count="63">
    <xf numFmtId="0" fontId="0" fillId="0" borderId="0" xfId="0"/>
    <xf numFmtId="0" fontId="1" fillId="0" borderId="0" xfId="0" applyFont="1"/>
    <xf numFmtId="4" fontId="0" fillId="0" borderId="0" xfId="0" applyNumberFormat="1"/>
    <xf numFmtId="17" fontId="0" fillId="0" borderId="0" xfId="0" applyNumberFormat="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1" fillId="0" borderId="8" xfId="0" applyFont="1" applyBorder="1"/>
    <xf numFmtId="0" fontId="1" fillId="0" borderId="7" xfId="0" applyFont="1" applyBorder="1"/>
    <xf numFmtId="0" fontId="1" fillId="0" borderId="10" xfId="0" applyFont="1" applyBorder="1"/>
    <xf numFmtId="0" fontId="1" fillId="0" borderId="12" xfId="0" applyFont="1" applyBorder="1"/>
    <xf numFmtId="0" fontId="1" fillId="0" borderId="13" xfId="0" applyFont="1" applyBorder="1"/>
    <xf numFmtId="0" fontId="2" fillId="0" borderId="7" xfId="0" applyFont="1" applyBorder="1"/>
    <xf numFmtId="0" fontId="2" fillId="0" borderId="8" xfId="0" applyFont="1" applyBorder="1"/>
    <xf numFmtId="0" fontId="2" fillId="0" borderId="10" xfId="0" applyFont="1" applyBorder="1"/>
    <xf numFmtId="0" fontId="2" fillId="0" borderId="0" xfId="0" applyFont="1"/>
    <xf numFmtId="0" fontId="2" fillId="0" borderId="12" xfId="0" applyFont="1" applyBorder="1"/>
    <xf numFmtId="0" fontId="2" fillId="0" borderId="13" xfId="0" applyFont="1" applyBorder="1"/>
    <xf numFmtId="0" fontId="1" fillId="3" borderId="0" xfId="0" applyFont="1" applyFill="1"/>
    <xf numFmtId="0" fontId="0" fillId="0" borderId="2" xfId="0" applyBorder="1"/>
    <xf numFmtId="17" fontId="3" fillId="2" borderId="0" xfId="0" applyNumberFormat="1" applyFont="1" applyFill="1"/>
    <xf numFmtId="4" fontId="0" fillId="0" borderId="6" xfId="0" applyNumberFormat="1" applyBorder="1"/>
    <xf numFmtId="0" fontId="0" fillId="4" borderId="15" xfId="0" applyFill="1" applyBorder="1"/>
    <xf numFmtId="0" fontId="0" fillId="4" borderId="16" xfId="0" applyFill="1" applyBorder="1"/>
    <xf numFmtId="0" fontId="0" fillId="0" borderId="2" xfId="0" applyBorder="1" applyAlignment="1">
      <alignment horizontal="center"/>
    </xf>
    <xf numFmtId="0" fontId="0" fillId="4" borderId="0" xfId="0" applyFill="1"/>
    <xf numFmtId="9" fontId="0" fillId="0" borderId="13" xfId="1" applyFont="1" applyBorder="1"/>
    <xf numFmtId="0" fontId="0" fillId="5" borderId="0" xfId="0" applyFill="1"/>
    <xf numFmtId="0" fontId="0" fillId="7" borderId="0" xfId="0" applyFill="1"/>
    <xf numFmtId="0" fontId="0" fillId="8" borderId="0" xfId="0" applyFill="1"/>
    <xf numFmtId="0" fontId="0" fillId="5" borderId="7" xfId="0" applyFill="1" applyBorder="1"/>
    <xf numFmtId="0" fontId="0" fillId="6" borderId="0" xfId="0" applyFill="1"/>
    <xf numFmtId="4" fontId="0" fillId="0" borderId="3" xfId="0" applyNumberFormat="1" applyBorder="1"/>
    <xf numFmtId="4" fontId="0" fillId="0" borderId="13" xfId="0" applyNumberFormat="1" applyBorder="1"/>
    <xf numFmtId="4" fontId="0" fillId="0" borderId="14" xfId="0" applyNumberFormat="1" applyBorder="1"/>
    <xf numFmtId="4" fontId="2" fillId="0" borderId="8" xfId="0" applyNumberFormat="1" applyFont="1" applyBorder="1"/>
    <xf numFmtId="4" fontId="2" fillId="0" borderId="0" xfId="0" applyNumberFormat="1" applyFont="1"/>
    <xf numFmtId="4" fontId="0" fillId="0" borderId="8" xfId="0" applyNumberFormat="1" applyBorder="1"/>
    <xf numFmtId="0" fontId="0" fillId="0" borderId="10" xfId="0" applyBorder="1" applyAlignment="1">
      <alignment horizontal="left" indent="3"/>
    </xf>
    <xf numFmtId="4" fontId="1" fillId="0" borderId="0" xfId="0" applyNumberFormat="1" applyFont="1"/>
    <xf numFmtId="0" fontId="0" fillId="4" borderId="17" xfId="0" applyFill="1" applyBorder="1"/>
    <xf numFmtId="0" fontId="0" fillId="5" borderId="9" xfId="0" applyFill="1" applyBorder="1"/>
    <xf numFmtId="0" fontId="0" fillId="3" borderId="7" xfId="0" applyFill="1" applyBorder="1"/>
    <xf numFmtId="0" fontId="0" fillId="3" borderId="8" xfId="0" applyFill="1" applyBorder="1"/>
    <xf numFmtId="0" fontId="0" fillId="3" borderId="10" xfId="0" applyFill="1" applyBorder="1"/>
    <xf numFmtId="0" fontId="0" fillId="3" borderId="0" xfId="0" applyFill="1"/>
    <xf numFmtId="0" fontId="0" fillId="0" borderId="0" xfId="0" applyAlignment="1">
      <alignment horizontal="right"/>
    </xf>
    <xf numFmtId="17" fontId="5" fillId="2" borderId="1" xfId="0" applyNumberFormat="1" applyFont="1" applyFill="1" applyBorder="1"/>
    <xf numFmtId="0" fontId="6" fillId="3" borderId="0" xfId="0" applyFont="1" applyFill="1"/>
    <xf numFmtId="0" fontId="0" fillId="9" borderId="0" xfId="0" applyFill="1"/>
    <xf numFmtId="0" fontId="0" fillId="9" borderId="13" xfId="0" applyFill="1" applyBorder="1"/>
    <xf numFmtId="0" fontId="0" fillId="0" borderId="10" xfId="0" applyBorder="1" applyAlignment="1">
      <alignment horizontal="center"/>
    </xf>
    <xf numFmtId="0" fontId="0" fillId="0" borderId="0" xfId="0" applyAlignment="1">
      <alignment horizontal="center"/>
    </xf>
    <xf numFmtId="0" fontId="7" fillId="0" borderId="0" xfId="0" applyFont="1"/>
    <xf numFmtId="0" fontId="8" fillId="0" borderId="0" xfId="0" applyFont="1"/>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BF5E-B3FE-4420-B587-55CC318B00C9}">
  <sheetPr>
    <tabColor theme="7" tint="0.59999389629810485"/>
    <pageSetUpPr fitToPage="1"/>
  </sheetPr>
  <dimension ref="A1:AB81"/>
  <sheetViews>
    <sheetView tabSelected="1" zoomScale="80" zoomScaleNormal="80" workbookViewId="0">
      <pane ySplit="3" topLeftCell="A4" activePane="bottomLeft" state="frozen"/>
      <selection activeCell="F30" sqref="F30"/>
      <selection pane="bottomLeft" activeCell="D16" sqref="D16"/>
    </sheetView>
  </sheetViews>
  <sheetFormatPr defaultRowHeight="14.5" x14ac:dyDescent="0.35"/>
  <cols>
    <col min="1" max="1" width="8.54296875" bestFit="1" customWidth="1"/>
    <col min="2" max="2" width="21.81640625" bestFit="1" customWidth="1"/>
    <col min="3" max="3" width="5" customWidth="1"/>
    <col min="4" max="4" width="30.1796875" customWidth="1"/>
    <col min="5" max="5" width="15" bestFit="1" customWidth="1"/>
    <col min="6" max="6" width="15.81640625" customWidth="1"/>
    <col min="7" max="7" width="15.7265625" customWidth="1"/>
    <col min="8" max="8" width="19.81640625" customWidth="1"/>
    <col min="10" max="10" width="2.1796875" style="57" customWidth="1"/>
    <col min="12" max="12" width="29.26953125" customWidth="1"/>
    <col min="14" max="18" width="15.54296875" customWidth="1"/>
  </cols>
  <sheetData>
    <row r="1" spans="1:28" ht="26" x14ac:dyDescent="0.6">
      <c r="A1" s="61" t="s">
        <v>130</v>
      </c>
      <c r="L1" s="62" t="s">
        <v>119</v>
      </c>
      <c r="X1" s="35" t="s">
        <v>105</v>
      </c>
      <c r="Z1" s="37" t="s">
        <v>108</v>
      </c>
    </row>
    <row r="2" spans="1:28" ht="18.5" x14ac:dyDescent="0.45">
      <c r="A2" s="55">
        <v>46023</v>
      </c>
      <c r="B2" s="56" t="s">
        <v>0</v>
      </c>
      <c r="C2" s="1"/>
      <c r="N2" s="59" t="s">
        <v>74</v>
      </c>
      <c r="O2" s="60"/>
      <c r="P2" s="60"/>
      <c r="Q2" s="60"/>
      <c r="R2" s="60"/>
      <c r="U2" t="s">
        <v>109</v>
      </c>
      <c r="V2" t="s">
        <v>78</v>
      </c>
      <c r="X2" s="39" t="s">
        <v>106</v>
      </c>
      <c r="Z2" s="53" t="s">
        <v>117</v>
      </c>
    </row>
    <row r="3" spans="1:28" s="13" customFormat="1" x14ac:dyDescent="0.35">
      <c r="A3" s="28"/>
      <c r="B3" s="26"/>
      <c r="C3" s="1"/>
      <c r="D3"/>
      <c r="E3"/>
      <c r="F3"/>
      <c r="G3"/>
      <c r="H3"/>
      <c r="J3" s="58"/>
      <c r="N3" t="s">
        <v>37</v>
      </c>
      <c r="O3" s="32" t="s">
        <v>120</v>
      </c>
      <c r="P3" s="32" t="s">
        <v>122</v>
      </c>
      <c r="Q3" s="32" t="s">
        <v>124</v>
      </c>
      <c r="R3" s="32" t="s">
        <v>126</v>
      </c>
      <c r="S3" t="s">
        <v>38</v>
      </c>
      <c r="U3" t="s">
        <v>38</v>
      </c>
      <c r="X3" s="36" t="s">
        <v>107</v>
      </c>
      <c r="Y3"/>
      <c r="Z3"/>
      <c r="AB3"/>
    </row>
    <row r="4" spans="1:28" x14ac:dyDescent="0.35">
      <c r="A4" s="5"/>
      <c r="B4" s="5" t="s">
        <v>1</v>
      </c>
      <c r="C4" s="6">
        <v>814</v>
      </c>
      <c r="D4" s="6">
        <v>814</v>
      </c>
      <c r="E4" s="6"/>
      <c r="F4" s="6"/>
      <c r="G4" s="29">
        <f>S22</f>
        <v>45219.74</v>
      </c>
      <c r="H4" s="54">
        <v>11</v>
      </c>
    </row>
    <row r="5" spans="1:28" x14ac:dyDescent="0.35">
      <c r="B5" s="12" t="s">
        <v>2</v>
      </c>
      <c r="C5" s="13">
        <v>478</v>
      </c>
      <c r="D5" s="13"/>
      <c r="E5" s="19" t="s">
        <v>3</v>
      </c>
      <c r="F5" s="41">
        <f>N5+N6-N12-N13-N14-N20-N21</f>
        <v>1940.4</v>
      </c>
      <c r="G5" s="42"/>
      <c r="H5" s="54" t="s">
        <v>75</v>
      </c>
      <c r="L5" s="35" t="s">
        <v>26</v>
      </c>
      <c r="M5">
        <v>2</v>
      </c>
      <c r="N5" s="35">
        <f>INDEX('Dep extended'!A:U,MATCH(N3,'Dep extended'!A:A,0),MATCH(L5,'Dep extended'!7:7,0))</f>
        <v>2051.8000000000002</v>
      </c>
      <c r="O5" s="35">
        <f>INDEX('Dep extended'!A:U,MATCH(O3,'Dep extended'!A:A,0),MATCH(L5,'Dep extended'!7:7,0))</f>
        <v>11188.52</v>
      </c>
      <c r="P5" s="35">
        <f>INDEX('Dep extended'!A:U,MATCH(P3,'Dep extended'!A:A,0),MATCH(L5,'Dep extended'!7:7,0))</f>
        <v>6876.24</v>
      </c>
      <c r="Q5" s="35">
        <f>INDEX('Dep extended'!A:U,MATCH(Q3,'Dep extended'!A:A,0),MATCH(L5,'Dep extended'!7:7,0))</f>
        <v>8071.69</v>
      </c>
      <c r="R5" s="35">
        <f>INDEX('Dep extended'!A:U,MATCH(R3,'Dep extended'!A:A,0),MATCH(L5,'Dep extended'!7:7,0))</f>
        <v>9289.0400000000009</v>
      </c>
      <c r="S5">
        <f>SUM(N5:R5)</f>
        <v>37477.289999999994</v>
      </c>
      <c r="U5">
        <f>INDEX('Dep extended'!A:U,MATCH($U$3,'Dep extended'!A:A,0),MATCH(L5,'Dep extended'!7:7,0))</f>
        <v>37477.29</v>
      </c>
      <c r="V5">
        <f>U5-S5</f>
        <v>0</v>
      </c>
    </row>
    <row r="6" spans="1:28" x14ac:dyDescent="0.35">
      <c r="B6" s="7" t="s">
        <v>4</v>
      </c>
      <c r="C6" s="8">
        <v>477</v>
      </c>
      <c r="D6" s="8"/>
      <c r="E6" s="8" t="s">
        <v>121</v>
      </c>
      <c r="F6" s="43">
        <f>O5+O6-O12-O13-O14-O20-O21</f>
        <v>8714.41</v>
      </c>
      <c r="G6" s="9"/>
      <c r="H6" s="54" t="s">
        <v>75</v>
      </c>
      <c r="L6" s="35" t="s">
        <v>27</v>
      </c>
      <c r="M6">
        <v>3</v>
      </c>
      <c r="N6" s="35">
        <f>INDEX('Dep extended'!A:U,MATCH(N3,'Dep extended'!A:A,0),MATCH(L6,'Dep extended'!7:7,0))</f>
        <v>0</v>
      </c>
      <c r="O6" s="35">
        <f>INDEX('Dep extended'!A:U,MATCH(O3,'Dep extended'!A:A,0),MATCH(L6,'Dep extended'!7:7,0))</f>
        <v>-409.92</v>
      </c>
      <c r="P6" s="35">
        <f>INDEX('Dep extended'!A:U,MATCH(P3,'Dep extended'!A:A,0),MATCH(L6,'Dep extended'!7:7,0))</f>
        <v>0</v>
      </c>
      <c r="Q6" s="35">
        <f>INDEX('Dep extended'!A:U,MATCH(Q3,'Dep extended'!A:A,0),MATCH(L6,'Dep extended'!7:7,0))</f>
        <v>63.41</v>
      </c>
      <c r="R6" s="35">
        <f>INDEX('Dep extended'!A:U,MATCH(R3,'Dep extended'!A:A,0),MATCH(L6,'Dep extended'!7:7,0))</f>
        <v>-447.55</v>
      </c>
      <c r="S6">
        <f>SUM(N6:R6)</f>
        <v>-794.06</v>
      </c>
      <c r="U6">
        <f>INDEX('Dep extended'!$A:$U,MATCH($U$3,'Dep extended'!A:A,0),MATCH(L6,'Dep extended'!$7:$7,0))</f>
        <v>-794.06</v>
      </c>
      <c r="V6">
        <f t="shared" ref="V6:V39" si="0">U6-S6</f>
        <v>0</v>
      </c>
    </row>
    <row r="7" spans="1:28" x14ac:dyDescent="0.35">
      <c r="B7" s="10" t="s">
        <v>4</v>
      </c>
      <c r="C7">
        <v>477</v>
      </c>
      <c r="E7" t="s">
        <v>123</v>
      </c>
      <c r="F7" s="44">
        <f>P5+P6-P12-P13-P14-P20-P21</f>
        <v>5910.64</v>
      </c>
      <c r="G7" s="11"/>
      <c r="H7" s="54"/>
    </row>
    <row r="8" spans="1:28" x14ac:dyDescent="0.35">
      <c r="B8" s="10" t="s">
        <v>4</v>
      </c>
      <c r="C8">
        <v>477</v>
      </c>
      <c r="E8" t="s">
        <v>125</v>
      </c>
      <c r="F8" s="44">
        <f>Q5+Q6-Q12-Q13-Q14-Q20-Q21</f>
        <v>7037.25</v>
      </c>
      <c r="G8" s="11"/>
      <c r="H8" s="54"/>
    </row>
    <row r="9" spans="1:28" x14ac:dyDescent="0.35">
      <c r="B9" s="10" t="s">
        <v>4</v>
      </c>
      <c r="C9">
        <v>477</v>
      </c>
      <c r="E9" t="s">
        <v>127</v>
      </c>
      <c r="F9" s="44">
        <f>R5+R6-R12-R13-R14-R20-R21</f>
        <v>7604.0000000000018</v>
      </c>
      <c r="G9" s="11"/>
      <c r="H9" s="54"/>
      <c r="L9" s="35" t="s">
        <v>87</v>
      </c>
      <c r="N9" s="35">
        <f>INDEX('Dep extended'!A:U,MATCH(N3,'Dep extended'!A:A,0),MATCH(L9,'Dep extended'!7:7,0))</f>
        <v>0</v>
      </c>
      <c r="O9" s="35">
        <f>INDEX('Dep extended'!A:U,MATCH(O3,'Dep extended'!A:A,0),MATCH(L9,'Dep extended'!7:7,0))</f>
        <v>0</v>
      </c>
      <c r="P9" s="35">
        <f>INDEX('Dep extended'!A:U,MATCH(P3,'Dep extended'!A:A,0),MATCH(L9,'Dep extended'!7:7,0))</f>
        <v>0</v>
      </c>
      <c r="Q9" s="35">
        <f>INDEX('Dep extended'!A:U,MATCH(Q3,'Dep extended'!A:A,0),MATCH(L9,'Dep extended'!7:7,0))</f>
        <v>0</v>
      </c>
      <c r="R9" s="35">
        <f>INDEX('Dep extended'!A:U,MATCH(R3,'Dep extended'!A:A,0),MATCH(L9,'Dep extended'!7:7,0))</f>
        <v>0</v>
      </c>
      <c r="S9">
        <f>SUM(N9:R9)</f>
        <v>0</v>
      </c>
      <c r="U9">
        <f>INDEX('Dep extended'!$A:$U,MATCH($U$3,'Dep extended'!A:A,0),MATCH(L9,'Dep extended'!$7:$7,0))</f>
        <v>0</v>
      </c>
      <c r="V9">
        <f t="shared" si="0"/>
        <v>0</v>
      </c>
    </row>
    <row r="10" spans="1:28" x14ac:dyDescent="0.35">
      <c r="B10" s="10"/>
      <c r="F10" s="44"/>
      <c r="G10" s="11"/>
      <c r="H10" s="54"/>
      <c r="L10" s="35" t="s">
        <v>88</v>
      </c>
      <c r="N10" s="35">
        <f>INDEX('Dep extended'!A:U,MATCH(N3,'Dep extended'!A:A,0),MATCH(L10,'Dep extended'!7:7,0))</f>
        <v>0</v>
      </c>
      <c r="O10" s="35">
        <f>INDEX('Dep extended'!A:U,MATCH(O3,'Dep extended'!A:A,0),MATCH(L10,'Dep extended'!7:7,0))</f>
        <v>0</v>
      </c>
      <c r="P10" s="35">
        <f>INDEX('Dep extended'!A:U,MATCH(P3,'Dep extended'!A:A,0),MATCH(L10,'Dep extended'!7:7,0))</f>
        <v>0</v>
      </c>
      <c r="Q10" s="35">
        <f>INDEX('Dep extended'!A:U,MATCH(Q3,'Dep extended'!A:A,0),MATCH(L10,'Dep extended'!7:7,0))</f>
        <v>0</v>
      </c>
      <c r="R10" s="35">
        <f>INDEX('Dep extended'!A:U,MATCH(R3,'Dep extended'!A:A,0),MATCH(L10,'Dep extended'!7:7,0))</f>
        <v>47.5</v>
      </c>
      <c r="S10">
        <f>SUM(N10:R10)</f>
        <v>47.5</v>
      </c>
      <c r="U10">
        <f>INDEX('Dep extended'!$A:$U,MATCH($U$3,'Dep extended'!A:A,0),MATCH(L10,'Dep extended'!$7:$7,0))</f>
        <v>47.5</v>
      </c>
      <c r="V10">
        <f t="shared" si="0"/>
        <v>0</v>
      </c>
    </row>
    <row r="11" spans="1:28" x14ac:dyDescent="0.35">
      <c r="B11" s="10"/>
      <c r="F11" s="44"/>
      <c r="G11" s="11"/>
      <c r="H11" s="54"/>
      <c r="L11" s="39" t="s">
        <v>30</v>
      </c>
      <c r="M11">
        <v>12</v>
      </c>
      <c r="N11" s="39">
        <f>INDEX('Dep Additions'!A:N,MATCH(N3,'Dep Additions'!A:A,0),MATCH(L11,'Dep Additions'!7:7,0))</f>
        <v>0</v>
      </c>
      <c r="O11" s="39">
        <f>INDEX('Dep Additions'!A:N,MATCH(O3,'Dep Additions'!A:A,0),MATCH(L11,'Dep Additions'!7:7,0))</f>
        <v>0</v>
      </c>
      <c r="P11" s="39">
        <f>INDEX('Dep Additions'!A:N,MATCH(P3,'Dep Additions'!A:A,0),MATCH(L11,'Dep Additions'!7:7,0))</f>
        <v>0</v>
      </c>
      <c r="Q11" s="39">
        <f>INDEX('Dep Additions'!A:N,MATCH(Q3,'Dep Additions'!A:A,0),MATCH(L11,'Dep Additions'!7:7,0))</f>
        <v>0</v>
      </c>
      <c r="R11" s="39">
        <f>INDEX('Dep Additions'!A:N,MATCH(R3,'Dep Additions'!A:A,0),MATCH(L11,'Dep Additions'!7:7,0))</f>
        <v>0</v>
      </c>
      <c r="V11">
        <f t="shared" si="0"/>
        <v>0</v>
      </c>
    </row>
    <row r="12" spans="1:28" x14ac:dyDescent="0.35">
      <c r="A12" s="1" t="s">
        <v>5</v>
      </c>
      <c r="B12" s="10" t="s">
        <v>6</v>
      </c>
      <c r="C12">
        <v>835</v>
      </c>
      <c r="E12" s="1" t="s">
        <v>3</v>
      </c>
      <c r="F12" s="47">
        <f>N27</f>
        <v>13059.6</v>
      </c>
      <c r="G12" s="11"/>
      <c r="H12" s="54">
        <v>15</v>
      </c>
      <c r="L12" s="35" t="s">
        <v>31</v>
      </c>
      <c r="M12">
        <v>6</v>
      </c>
      <c r="N12" s="35">
        <f>INDEX('Dep extended'!$A:$U,MATCH($N$3,'Dep extended'!$A:$A,0),MATCH(L12,'Dep extended'!$7:$7,0))</f>
        <v>0</v>
      </c>
      <c r="O12" s="35">
        <f>INDEX('Dep extended'!$A:$U,MATCH($O$3,'Dep extended'!$A:$A,0),MATCH(L12,'Dep extended'!$7:$7,0))</f>
        <v>289.51</v>
      </c>
      <c r="P12" s="35">
        <f>INDEX('Dep extended'!$A:$U,MATCH($P$3,'Dep extended'!$A:$A,0),MATCH(L12,'Dep extended'!$7:$7,0))</f>
        <v>191.87</v>
      </c>
      <c r="Q12" s="35">
        <f>INDEX('Dep extended'!$A:$U,MATCH($Q$3,'Dep extended'!$A:$A,0),MATCH(L12,'Dep extended'!$7:$7,0))</f>
        <v>221.44</v>
      </c>
      <c r="R12" s="35">
        <f>INDEX('Dep extended'!$A:$U,MATCH($R$3,'Dep extended'!$A:$A,0),MATCH(L12,'Dep extended'!$7:$7,0))</f>
        <v>251.58</v>
      </c>
      <c r="S12">
        <f>SUM(N12:R12)</f>
        <v>954.4</v>
      </c>
      <c r="U12">
        <f>INDEX('Dep extended'!$A:$U,MATCH($U$3,'Dep extended'!A:A,0),MATCH(L12,'Dep extended'!$7:$7,0))</f>
        <v>954.4</v>
      </c>
      <c r="V12">
        <f t="shared" si="0"/>
        <v>0</v>
      </c>
    </row>
    <row r="13" spans="1:28" x14ac:dyDescent="0.35">
      <c r="A13" s="1" t="s">
        <v>5</v>
      </c>
      <c r="B13" s="10" t="s">
        <v>7</v>
      </c>
      <c r="C13">
        <v>486</v>
      </c>
      <c r="E13" s="1" t="s">
        <v>3</v>
      </c>
      <c r="F13">
        <f>N26</f>
        <v>0</v>
      </c>
      <c r="G13" s="11"/>
      <c r="H13" s="54">
        <v>14</v>
      </c>
      <c r="L13" s="35" t="s">
        <v>32</v>
      </c>
      <c r="M13">
        <v>7</v>
      </c>
      <c r="N13" s="35">
        <f>INDEX('Dep extended'!$A:$U,MATCH($N$3,'Dep extended'!$A:$A,0),MATCH(L13,'Dep extended'!$7:$7,0))</f>
        <v>0</v>
      </c>
      <c r="O13" s="35">
        <f>INDEX('Dep extended'!$A:$U,MATCH($O$3,'Dep extended'!$A:$A,0),MATCH(L13,'Dep extended'!$7:$7,0))</f>
        <v>0</v>
      </c>
      <c r="P13" s="35">
        <f>INDEX('Dep extended'!$A:$U,MATCH($P$3,'Dep extended'!$A:$A,0),MATCH(L13,'Dep extended'!$7:$7,0))</f>
        <v>0</v>
      </c>
      <c r="Q13" s="35">
        <f>INDEX('Dep extended'!$A:$U,MATCH($Q$3,'Dep extended'!$A:$A,0),MATCH(L13,'Dep extended'!$7:$7,0))</f>
        <v>0</v>
      </c>
      <c r="R13" s="35">
        <f>INDEX('Dep extended'!$A:$U,MATCH($R$3,'Dep extended'!$A:$A,0),MATCH(L13,'Dep extended'!$7:$7,0))</f>
        <v>21</v>
      </c>
      <c r="S13">
        <f>SUM(N13:R13)</f>
        <v>21</v>
      </c>
      <c r="U13">
        <f>INDEX('Dep extended'!$A:$U,MATCH($U$3,'Dep extended'!A:A,0),MATCH(L13,'Dep extended'!$7:$7,0))</f>
        <v>21</v>
      </c>
      <c r="V13">
        <f t="shared" si="0"/>
        <v>0</v>
      </c>
    </row>
    <row r="14" spans="1:28" x14ac:dyDescent="0.35">
      <c r="A14" s="1" t="s">
        <v>5</v>
      </c>
      <c r="B14" s="10" t="s">
        <v>7</v>
      </c>
      <c r="C14">
        <v>486</v>
      </c>
      <c r="E14" t="s">
        <v>121</v>
      </c>
      <c r="F14">
        <f>O26</f>
        <v>354.15</v>
      </c>
      <c r="G14" s="11"/>
      <c r="H14" s="54"/>
      <c r="L14" s="35" t="s">
        <v>33</v>
      </c>
      <c r="M14">
        <v>8</v>
      </c>
      <c r="N14" s="35">
        <f>INDEX('Dep extended'!$A:$U,MATCH($N$3,'Dep extended'!$A:$A,0),MATCH(L14,'Dep extended'!$7:$7,0))</f>
        <v>0</v>
      </c>
      <c r="O14" s="35">
        <f>INDEX('Dep extended'!$A:$U,MATCH($O$3,'Dep extended'!$A:$A,0),MATCH(L14,'Dep extended'!$7:$7,0))</f>
        <v>0</v>
      </c>
      <c r="P14" s="35">
        <f>INDEX('Dep extended'!$A:$U,MATCH($P$3,'Dep extended'!$A:$A,0),MATCH(L14,'Dep extended'!$7:$7,0))</f>
        <v>0</v>
      </c>
      <c r="Q14" s="35">
        <f>INDEX('Dep extended'!$A:$U,MATCH($Q$3,'Dep extended'!$A:$A,0),MATCH(L14,'Dep extended'!$7:$7,0))</f>
        <v>0</v>
      </c>
      <c r="R14" s="35">
        <f>INDEX('Dep extended'!$A:$U,MATCH($R$3,'Dep extended'!$A:$A,0),MATCH(L14,'Dep extended'!$7:$7,0))</f>
        <v>0</v>
      </c>
      <c r="S14">
        <f>SUM(N14:R14)</f>
        <v>0</v>
      </c>
      <c r="U14">
        <f>INDEX('Dep extended'!$A:$U,MATCH($U$3,'Dep extended'!A:A,0),MATCH(L14,'Dep extended'!$7:$7,0))</f>
        <v>0</v>
      </c>
      <c r="V14">
        <f t="shared" si="0"/>
        <v>0</v>
      </c>
    </row>
    <row r="15" spans="1:28" x14ac:dyDescent="0.35">
      <c r="A15" s="1" t="s">
        <v>5</v>
      </c>
      <c r="B15" s="10" t="s">
        <v>7</v>
      </c>
      <c r="C15">
        <v>486</v>
      </c>
      <c r="E15" t="s">
        <v>123</v>
      </c>
      <c r="F15">
        <f>P26</f>
        <v>0</v>
      </c>
      <c r="G15" s="11"/>
      <c r="H15" s="54"/>
    </row>
    <row r="16" spans="1:28" x14ac:dyDescent="0.35">
      <c r="A16" s="1" t="s">
        <v>5</v>
      </c>
      <c r="B16" s="10" t="s">
        <v>7</v>
      </c>
      <c r="C16">
        <v>486</v>
      </c>
      <c r="E16" t="s">
        <v>125</v>
      </c>
      <c r="F16">
        <f>Q26</f>
        <v>23.67</v>
      </c>
      <c r="G16" s="11"/>
      <c r="H16" s="54"/>
      <c r="L16" s="35" t="s">
        <v>90</v>
      </c>
      <c r="N16" s="35">
        <f>INDEX('Dep extended'!$A:$U,MATCH($N$3,'Dep extended'!$A:$A,0),MATCH(L16,'Dep extended'!$7:$7,0))</f>
        <v>0</v>
      </c>
      <c r="O16" s="35">
        <f>INDEX('Dep extended'!$A:$U,MATCH($O$3,'Dep extended'!$A:$A,0),MATCH(L16,'Dep extended'!$7:$7,0))</f>
        <v>0</v>
      </c>
      <c r="P16" s="35">
        <f>INDEX('Dep extended'!$A:$U,MATCH($P$3,'Dep extended'!$A:$A,0),MATCH(L16,'Dep extended'!$7:$7,0))</f>
        <v>0</v>
      </c>
      <c r="Q16" s="35">
        <f>INDEX('Dep extended'!$A:$U,MATCH($Q$3,'Dep extended'!$A:$A,0),MATCH(L16,'Dep extended'!$7:$7,0))</f>
        <v>0</v>
      </c>
      <c r="R16" s="35">
        <f>INDEX('Dep extended'!$A:$U,MATCH($R$3,'Dep extended'!$A:$A,0),MATCH(L16,'Dep extended'!$7:$7,0))</f>
        <v>0</v>
      </c>
      <c r="S16">
        <f t="shared" ref="S16:S21" si="1">SUM(N16:R16)</f>
        <v>0</v>
      </c>
      <c r="U16">
        <f>INDEX('Dep extended'!$A:$U,MATCH($U$3,'Dep extended'!A:A,0),MATCH(L16,'Dep extended'!$7:$7,0))</f>
        <v>0</v>
      </c>
      <c r="V16">
        <f t="shared" si="0"/>
        <v>0</v>
      </c>
    </row>
    <row r="17" spans="1:22" x14ac:dyDescent="0.35">
      <c r="A17" s="1" t="s">
        <v>5</v>
      </c>
      <c r="B17" s="12" t="s">
        <v>7</v>
      </c>
      <c r="C17" s="13">
        <v>486</v>
      </c>
      <c r="D17" s="13"/>
      <c r="E17" s="13" t="s">
        <v>127</v>
      </c>
      <c r="F17" s="13">
        <f>R26</f>
        <v>319.32</v>
      </c>
      <c r="G17" s="14"/>
      <c r="H17" s="54"/>
      <c r="L17" s="35" t="s">
        <v>91</v>
      </c>
      <c r="N17" s="35">
        <f>INDEX('Dep extended'!$A:$U,MATCH($N$3,'Dep extended'!$A:$A,0),MATCH(L17,'Dep extended'!$7:$7,0))</f>
        <v>0</v>
      </c>
      <c r="O17" s="35">
        <f>INDEX('Dep extended'!$A:$U,MATCH($O$3,'Dep extended'!$A:$A,0),MATCH(L17,'Dep extended'!$7:$7,0))</f>
        <v>0</v>
      </c>
      <c r="P17" s="35">
        <f>INDEX('Dep extended'!$A:$U,MATCH($P$3,'Dep extended'!$A:$A,0),MATCH(L17,'Dep extended'!$7:$7,0))</f>
        <v>0</v>
      </c>
      <c r="Q17" s="35">
        <f>INDEX('Dep extended'!$A:$U,MATCH($Q$3,'Dep extended'!$A:$A,0),MATCH(L17,'Dep extended'!$7:$7,0))</f>
        <v>0</v>
      </c>
      <c r="R17" s="35">
        <f>INDEX('Dep extended'!$A:$U,MATCH($R$3,'Dep extended'!$A:$A,0),MATCH(L17,'Dep extended'!$7:$7,0))</f>
        <v>0</v>
      </c>
      <c r="S17">
        <f t="shared" si="1"/>
        <v>0</v>
      </c>
      <c r="U17">
        <f>INDEX('Dep extended'!$A:$U,MATCH($U$3,'Dep extended'!A:A,0),MATCH(L17,'Dep extended'!$7:$7,0))</f>
        <v>0</v>
      </c>
      <c r="V17">
        <f t="shared" si="0"/>
        <v>0</v>
      </c>
    </row>
    <row r="18" spans="1:22" x14ac:dyDescent="0.35">
      <c r="A18" s="1" t="s">
        <v>5</v>
      </c>
      <c r="B18" s="7" t="s">
        <v>8</v>
      </c>
      <c r="C18" s="8">
        <v>487</v>
      </c>
      <c r="D18" s="8"/>
      <c r="E18" s="15" t="s">
        <v>3</v>
      </c>
      <c r="F18" s="45">
        <f>N25</f>
        <v>0</v>
      </c>
      <c r="G18" s="9"/>
      <c r="H18" s="54">
        <v>13</v>
      </c>
      <c r="L18" s="35" t="s">
        <v>92</v>
      </c>
      <c r="N18" s="35">
        <f>INDEX('Dep extended'!$A:$U,MATCH($N$3,'Dep extended'!$A:$A,0),MATCH(L18,'Dep extended'!$7:$7,0))</f>
        <v>0</v>
      </c>
      <c r="O18" s="35">
        <f>INDEX('Dep extended'!$A:$U,MATCH($O$3,'Dep extended'!$A:$A,0),MATCH(L18,'Dep extended'!$7:$7,0))</f>
        <v>0</v>
      </c>
      <c r="P18" s="35">
        <f>INDEX('Dep extended'!$A:$U,MATCH($P$3,'Dep extended'!$A:$A,0),MATCH(L18,'Dep extended'!$7:$7,0))</f>
        <v>0</v>
      </c>
      <c r="Q18" s="35">
        <f>INDEX('Dep extended'!$A:$U,MATCH($Q$3,'Dep extended'!$A:$A,0),MATCH(L18,'Dep extended'!$7:$7,0))</f>
        <v>0</v>
      </c>
      <c r="R18" s="35">
        <f>INDEX('Dep extended'!$A:$U,MATCH($R$3,'Dep extended'!$A:$A,0),MATCH(L18,'Dep extended'!$7:$7,0))</f>
        <v>0</v>
      </c>
      <c r="S18">
        <f t="shared" si="1"/>
        <v>0</v>
      </c>
      <c r="U18">
        <f>INDEX('Dep extended'!$A:$U,MATCH($U$3,'Dep extended'!A:A,0),MATCH(L18,'Dep extended'!$7:$7,0))</f>
        <v>0</v>
      </c>
      <c r="V18">
        <f t="shared" si="0"/>
        <v>0</v>
      </c>
    </row>
    <row r="19" spans="1:22" x14ac:dyDescent="0.35">
      <c r="A19" s="1" t="s">
        <v>5</v>
      </c>
      <c r="B19" s="10" t="s">
        <v>8</v>
      </c>
      <c r="C19">
        <v>487</v>
      </c>
      <c r="E19" t="s">
        <v>121</v>
      </c>
      <c r="F19" s="2">
        <f>O25</f>
        <v>216.8</v>
      </c>
      <c r="G19" s="11"/>
      <c r="H19" s="54"/>
      <c r="L19" s="35" t="s">
        <v>93</v>
      </c>
      <c r="N19" s="35">
        <f>INDEX('Dep extended'!$A:$U,MATCH($N$3,'Dep extended'!$A:$A,0),MATCH(L19,'Dep extended'!$7:$7,0))</f>
        <v>0</v>
      </c>
      <c r="O19" s="35">
        <f>INDEX('Dep extended'!$A:$U,MATCH($O$3,'Dep extended'!$A:$A,0),MATCH(L19,'Dep extended'!$7:$7,0))</f>
        <v>0</v>
      </c>
      <c r="P19" s="35">
        <f>INDEX('Dep extended'!$A:$U,MATCH($P$3,'Dep extended'!$A:$A,0),MATCH(L19,'Dep extended'!$7:$7,0))</f>
        <v>0</v>
      </c>
      <c r="Q19" s="35">
        <f>INDEX('Dep extended'!$A:$U,MATCH($Q$3,'Dep extended'!$A:$A,0),MATCH(L19,'Dep extended'!$7:$7,0))</f>
        <v>0</v>
      </c>
      <c r="R19" s="35">
        <f>INDEX('Dep extended'!$A:$U,MATCH($R$3,'Dep extended'!$A:$A,0),MATCH(L19,'Dep extended'!$7:$7,0))</f>
        <v>0</v>
      </c>
      <c r="S19">
        <f t="shared" si="1"/>
        <v>0</v>
      </c>
      <c r="U19">
        <f>INDEX('Dep extended'!$A:$U,MATCH($U$3,'Dep extended'!A:A,0),MATCH(L19,'Dep extended'!$7:$7,0))</f>
        <v>0</v>
      </c>
      <c r="V19">
        <f t="shared" si="0"/>
        <v>0</v>
      </c>
    </row>
    <row r="20" spans="1:22" x14ac:dyDescent="0.35">
      <c r="A20" s="1" t="s">
        <v>5</v>
      </c>
      <c r="B20" s="10" t="s">
        <v>8</v>
      </c>
      <c r="C20">
        <v>487</v>
      </c>
      <c r="E20" t="s">
        <v>123</v>
      </c>
      <c r="F20" s="2">
        <f>P25</f>
        <v>0</v>
      </c>
      <c r="G20" s="11"/>
      <c r="H20" s="54"/>
      <c r="L20" s="35" t="s">
        <v>34</v>
      </c>
      <c r="M20">
        <v>9</v>
      </c>
      <c r="N20" s="35">
        <f>INDEX('Dep extended'!A:U,MATCH(N3,'Dep extended'!A:A,0),MATCH(L20,'Dep extended'!7:7,0))</f>
        <v>0</v>
      </c>
      <c r="O20" s="35">
        <f>INDEX('Dep extended'!A:U,MATCH(O3,'Dep extended'!A:A,0),MATCH(L20,'Dep extended'!7:7,0))</f>
        <v>386.48</v>
      </c>
      <c r="P20" s="35">
        <f>INDEX('Dep extended'!A:U,MATCH(P3,'Dep extended'!A:A,0),MATCH(L20,'Dep extended'!7:7,0))</f>
        <v>214.73</v>
      </c>
      <c r="Q20" s="35">
        <f>INDEX('Dep extended'!A:U,MATCH(Q3,'Dep extended'!A:A,0),MATCH(L20,'Dep extended'!7:7,0))</f>
        <v>231.61</v>
      </c>
      <c r="R20" s="35">
        <f>INDEX('Dep extended'!A:U,MATCH(R3,'Dep extended'!A:A,0),MATCH(L20,'Dep extended'!7:7,0))</f>
        <v>291.91000000000003</v>
      </c>
      <c r="S20">
        <f t="shared" si="1"/>
        <v>1124.73</v>
      </c>
      <c r="U20">
        <f>INDEX('Dep extended'!$A:$U,MATCH($U$3,'Dep extended'!A:A,0),MATCH(L20,'Dep extended'!$7:$7,0))</f>
        <v>1124.73</v>
      </c>
      <c r="V20">
        <f t="shared" si="0"/>
        <v>0</v>
      </c>
    </row>
    <row r="21" spans="1:22" x14ac:dyDescent="0.35">
      <c r="A21" s="1" t="s">
        <v>5</v>
      </c>
      <c r="B21" s="10" t="s">
        <v>8</v>
      </c>
      <c r="C21">
        <v>487</v>
      </c>
      <c r="E21" t="s">
        <v>125</v>
      </c>
      <c r="F21" s="2">
        <f>Q25</f>
        <v>10.8</v>
      </c>
      <c r="G21" s="11"/>
      <c r="H21" s="54"/>
      <c r="L21" s="35" t="s">
        <v>35</v>
      </c>
      <c r="M21">
        <v>10</v>
      </c>
      <c r="N21" s="35">
        <f>INDEX('Dep extended'!A:U,MATCH(N3,'Dep extended'!A:A,0),MATCH(L21,'Dep extended'!7:7,0))</f>
        <v>111.4</v>
      </c>
      <c r="O21" s="35">
        <f>INDEX('Dep extended'!A:U,MATCH(O3,'Dep extended'!A:A,0),MATCH(L21,'Dep extended'!7:7,0))</f>
        <v>1388.2</v>
      </c>
      <c r="P21" s="35">
        <f>INDEX('Dep extended'!A:U,MATCH(P3,'Dep extended'!A:A,0),MATCH(L21,'Dep extended'!7:7,0))</f>
        <v>559</v>
      </c>
      <c r="Q21" s="35">
        <f>INDEX('Dep extended'!A:U,MATCH(Q3,'Dep extended'!A:A,0),MATCH(L21,'Dep extended'!7:7,0))</f>
        <v>644.79999999999995</v>
      </c>
      <c r="R21" s="35">
        <f>INDEX('Dep extended'!A:U,MATCH(R3,'Dep extended'!A:A,0),MATCH(L21,'Dep extended'!7:7,0))</f>
        <v>673</v>
      </c>
      <c r="S21">
        <f t="shared" si="1"/>
        <v>3376.4000000000005</v>
      </c>
      <c r="U21">
        <f>INDEX('Dep extended'!$A:$U,MATCH($U$3,'Dep extended'!A:A,0),MATCH(L21,'Dep extended'!$7:$7,0))</f>
        <v>3376.4</v>
      </c>
      <c r="V21">
        <f t="shared" si="0"/>
        <v>0</v>
      </c>
    </row>
    <row r="22" spans="1:22" x14ac:dyDescent="0.35">
      <c r="A22" s="1" t="s">
        <v>5</v>
      </c>
      <c r="B22" s="12" t="s">
        <v>8</v>
      </c>
      <c r="C22" s="13">
        <v>487</v>
      </c>
      <c r="D22" s="13"/>
      <c r="E22" s="13" t="s">
        <v>127</v>
      </c>
      <c r="F22" s="41">
        <f>R25</f>
        <v>31.2</v>
      </c>
      <c r="G22" s="14"/>
      <c r="H22" s="54"/>
      <c r="L22" s="35" t="s">
        <v>36</v>
      </c>
      <c r="M22">
        <v>11</v>
      </c>
      <c r="N22" s="33"/>
      <c r="O22" s="33"/>
      <c r="P22" s="33"/>
      <c r="Q22" s="33"/>
      <c r="R22" s="33"/>
      <c r="S22" s="35">
        <f>INDEX('Dep extended'!A:U,MATCH(S3,'Dep extended'!A:A,0),MATCH(L22,'Dep extended'!7:7,0))</f>
        <v>45219.74</v>
      </c>
      <c r="U22">
        <f>INDEX('Dep extended'!$A:$U,MATCH($U$3,'Dep extended'!A:A,0),MATCH(L22,'Dep extended'!$7:$7,0))</f>
        <v>45219.74</v>
      </c>
      <c r="V22">
        <f t="shared" si="0"/>
        <v>0</v>
      </c>
    </row>
    <row r="23" spans="1:22" x14ac:dyDescent="0.35">
      <c r="A23" s="1"/>
      <c r="B23" s="16" t="s">
        <v>4</v>
      </c>
      <c r="C23" s="8">
        <v>477</v>
      </c>
      <c r="D23" t="s">
        <v>85</v>
      </c>
      <c r="E23" s="15" t="s">
        <v>3</v>
      </c>
      <c r="F23" s="2">
        <f>N28</f>
        <v>0</v>
      </c>
      <c r="G23" s="11"/>
      <c r="H23" s="54"/>
      <c r="L23" s="39" t="s">
        <v>94</v>
      </c>
    </row>
    <row r="24" spans="1:22" x14ac:dyDescent="0.35">
      <c r="A24" s="1"/>
      <c r="B24" s="17" t="s">
        <v>4</v>
      </c>
      <c r="C24">
        <v>477</v>
      </c>
      <c r="D24" t="s">
        <v>85</v>
      </c>
      <c r="E24" t="s">
        <v>121</v>
      </c>
      <c r="F24" s="2">
        <f>O28</f>
        <v>0</v>
      </c>
      <c r="G24" s="11"/>
      <c r="H24" s="54"/>
      <c r="L24" s="39" t="s">
        <v>95</v>
      </c>
    </row>
    <row r="25" spans="1:22" x14ac:dyDescent="0.35">
      <c r="A25" s="1"/>
      <c r="B25" s="17" t="s">
        <v>4</v>
      </c>
      <c r="C25">
        <v>477</v>
      </c>
      <c r="D25" t="s">
        <v>85</v>
      </c>
      <c r="E25" t="s">
        <v>123</v>
      </c>
      <c r="F25" s="2">
        <f>P28</f>
        <v>0</v>
      </c>
      <c r="G25" s="11"/>
      <c r="H25" s="54"/>
      <c r="L25" s="39" t="s">
        <v>60</v>
      </c>
      <c r="M25">
        <v>13</v>
      </c>
      <c r="N25" s="39">
        <f>INDEX('Dep Additions'!A:N,MATCH(N3,'Dep Additions'!A:A,0),MATCH(L25,'Dep Additions'!7:7,0))</f>
        <v>0</v>
      </c>
      <c r="O25" s="39">
        <f>INDEX('Dep Additions'!A:N,MATCH(O3,'Dep Additions'!A:A,0),MATCH(L25,'Dep Additions'!7:7,0))</f>
        <v>216.8</v>
      </c>
      <c r="P25" s="39">
        <f>INDEX('Dep Additions'!A:N,MATCH(P3,'Dep Additions'!A:A,0),MATCH(L25,'Dep Additions'!7:7,0))</f>
        <v>0</v>
      </c>
      <c r="Q25" s="39">
        <f>INDEX('Dep Additions'!A:N,MATCH(Q3,'Dep Additions'!A:A,0),MATCH(L25,'Dep Additions'!7:7,0))</f>
        <v>10.8</v>
      </c>
      <c r="R25" s="39">
        <f>INDEX('Dep Additions'!A:N,MATCH(R3,'Dep Additions'!A:A,0),MATCH(L25,'Dep Additions'!7:7,0))</f>
        <v>31.2</v>
      </c>
      <c r="S25">
        <f>SUM(N25:R25)</f>
        <v>258.8</v>
      </c>
      <c r="U25">
        <f>INDEX('Dep Additions'!$A:$N,MATCH($U$3,'Dep Additions'!$A:$A,0),MATCH(L25,'Dep Additions'!$7:$7,0))</f>
        <v>258.8</v>
      </c>
      <c r="V25">
        <f t="shared" si="0"/>
        <v>0</v>
      </c>
    </row>
    <row r="26" spans="1:22" x14ac:dyDescent="0.35">
      <c r="A26" s="1"/>
      <c r="B26" s="17" t="s">
        <v>4</v>
      </c>
      <c r="C26">
        <v>477</v>
      </c>
      <c r="D26" t="s">
        <v>85</v>
      </c>
      <c r="E26" t="s">
        <v>125</v>
      </c>
      <c r="F26" s="2">
        <f>Q28</f>
        <v>0</v>
      </c>
      <c r="G26" s="11"/>
      <c r="H26" s="54"/>
      <c r="L26" s="39" t="s">
        <v>61</v>
      </c>
      <c r="M26">
        <v>14</v>
      </c>
      <c r="N26" s="39">
        <f>INDEX('Dep Additions'!A:N,MATCH(N3,'Dep Additions'!A:A,0),MATCH(L26,'Dep Additions'!7:7,0))</f>
        <v>0</v>
      </c>
      <c r="O26" s="39">
        <f>INDEX('Dep Additions'!A:N,MATCH(O3,'Dep Additions'!A:A,0),MATCH(L26,'Dep Additions'!7:7,0))</f>
        <v>354.15</v>
      </c>
      <c r="P26" s="39">
        <f>INDEX('Dep Additions'!A:N,MATCH(P3,'Dep Additions'!A:A,0),MATCH(L26,'Dep Additions'!7:7,0))</f>
        <v>0</v>
      </c>
      <c r="Q26" s="39">
        <f>INDEX('Dep Additions'!A:N,MATCH(Q3,'Dep Additions'!A:A,0),MATCH(L26,'Dep Additions'!7:7,0))</f>
        <v>23.67</v>
      </c>
      <c r="R26" s="39">
        <f>INDEX('Dep Additions'!A:N,MATCH(R3,'Dep Additions'!A:A,0),MATCH(L26,'Dep Additions'!7:7,0))</f>
        <v>319.32</v>
      </c>
      <c r="S26">
        <f>SUM(N26:R26)</f>
        <v>697.14</v>
      </c>
      <c r="U26">
        <f>INDEX('Dep Additions'!$A:$N,MATCH($U$3,'Dep Additions'!$A:$A,0),MATCH(L26,'Dep Additions'!$7:$7,0))</f>
        <v>697.14</v>
      </c>
      <c r="V26">
        <f t="shared" si="0"/>
        <v>0</v>
      </c>
    </row>
    <row r="27" spans="1:22" x14ac:dyDescent="0.35">
      <c r="A27" s="1"/>
      <c r="B27" s="18" t="s">
        <v>4</v>
      </c>
      <c r="C27" s="13">
        <v>477</v>
      </c>
      <c r="D27" t="s">
        <v>85</v>
      </c>
      <c r="E27" s="13" t="s">
        <v>127</v>
      </c>
      <c r="F27" s="2">
        <f>R28</f>
        <v>0</v>
      </c>
      <c r="G27" s="11"/>
      <c r="H27" s="54"/>
      <c r="L27" s="39" t="s">
        <v>62</v>
      </c>
      <c r="M27">
        <v>15</v>
      </c>
      <c r="N27" s="39">
        <f>INDEX('Dep Additions'!A:N,MATCH(N3,'Dep Additions'!A:A,0),MATCH(L27,'Dep Additions'!7:7,0))</f>
        <v>13059.6</v>
      </c>
      <c r="O27" s="33"/>
      <c r="P27" s="33"/>
      <c r="Q27" s="33"/>
      <c r="R27" s="33"/>
      <c r="S27">
        <f>SUM(N27:R27)</f>
        <v>13059.6</v>
      </c>
      <c r="U27">
        <f>INDEX('Dep Additions'!$A:$N,MATCH($U$3,'Dep Additions'!$A:$A,0),MATCH(L27,'Dep Additions'!$7:$7,0))</f>
        <v>13059.6</v>
      </c>
      <c r="V27">
        <f t="shared" si="0"/>
        <v>0</v>
      </c>
    </row>
    <row r="28" spans="1:22" x14ac:dyDescent="0.35">
      <c r="A28" s="1" t="s">
        <v>5</v>
      </c>
      <c r="B28" s="16" t="s">
        <v>4</v>
      </c>
      <c r="C28" s="8">
        <v>477</v>
      </c>
      <c r="D28" s="8" t="s">
        <v>9</v>
      </c>
      <c r="E28" s="15" t="s">
        <v>3</v>
      </c>
      <c r="F28" s="45">
        <f>N11</f>
        <v>0</v>
      </c>
      <c r="G28" s="9"/>
      <c r="H28" s="54">
        <v>12</v>
      </c>
      <c r="L28" s="39" t="s">
        <v>85</v>
      </c>
      <c r="N28" s="39">
        <f>INDEX('Dep Additions'!A:N,MATCH(N3,'Dep Additions'!A:A,0),MATCH(L28,'Dep Additions'!7:7,0))</f>
        <v>0</v>
      </c>
      <c r="O28" s="39">
        <f>INDEX('Dep Additions'!A:N,MATCH(O3,'Dep Additions'!A:A,0),MATCH(L28,'Dep Additions'!7:7,0))</f>
        <v>0</v>
      </c>
      <c r="P28" s="39">
        <f>INDEX('Dep Additions'!A:N,MATCH(P3,'Dep Additions'!A:A,0),MATCH(L28,'Dep Additions'!7:7,0))</f>
        <v>0</v>
      </c>
      <c r="Q28" s="39">
        <f>INDEX('Dep Additions'!A:N,MATCH(Q3,'Dep Additions'!A:A,0),MATCH(L28,'Dep Additions'!7:7,0))</f>
        <v>0</v>
      </c>
      <c r="R28" s="39">
        <f>INDEX('Dep Additions'!A:N,MATCH(R3,'Dep Additions'!A:A,0),MATCH(L28,'Dep Additions'!7:7,0))</f>
        <v>0</v>
      </c>
      <c r="S28">
        <f>SUM(N28:R28)</f>
        <v>0</v>
      </c>
      <c r="U28">
        <f>INDEX('Dep Additions'!$A:$N,MATCH($U$3,'Dep Additions'!$A:$A,0),MATCH(L28,'Dep Additions'!$7:$7,0))</f>
        <v>0</v>
      </c>
      <c r="V28">
        <f t="shared" si="0"/>
        <v>0</v>
      </c>
    </row>
    <row r="29" spans="1:22" x14ac:dyDescent="0.35">
      <c r="A29" s="1" t="s">
        <v>5</v>
      </c>
      <c r="B29" s="17" t="s">
        <v>4</v>
      </c>
      <c r="C29">
        <v>477</v>
      </c>
      <c r="D29" t="s">
        <v>9</v>
      </c>
      <c r="E29" t="s">
        <v>121</v>
      </c>
      <c r="F29" s="2">
        <f>O11</f>
        <v>0</v>
      </c>
      <c r="G29" s="11"/>
      <c r="H29" s="54"/>
      <c r="L29" s="39" t="s">
        <v>96</v>
      </c>
      <c r="U29">
        <f>INDEX('Dep Additions'!$A:$N,MATCH($U$3,'Dep Additions'!$A:$A,0),MATCH(L29,'Dep Additions'!$7:$7,0))</f>
        <v>0</v>
      </c>
      <c r="V29">
        <f t="shared" si="0"/>
        <v>0</v>
      </c>
    </row>
    <row r="30" spans="1:22" x14ac:dyDescent="0.35">
      <c r="A30" s="1" t="s">
        <v>5</v>
      </c>
      <c r="B30" s="17" t="s">
        <v>4</v>
      </c>
      <c r="C30">
        <v>477</v>
      </c>
      <c r="D30" t="s">
        <v>9</v>
      </c>
      <c r="E30" t="s">
        <v>123</v>
      </c>
      <c r="F30" s="2">
        <f>P11</f>
        <v>0</v>
      </c>
      <c r="G30" s="11"/>
      <c r="H30" s="54"/>
    </row>
    <row r="31" spans="1:22" x14ac:dyDescent="0.35">
      <c r="A31" s="1" t="s">
        <v>5</v>
      </c>
      <c r="B31" s="17" t="s">
        <v>4</v>
      </c>
      <c r="C31">
        <v>477</v>
      </c>
      <c r="D31" t="s">
        <v>9</v>
      </c>
      <c r="E31" t="s">
        <v>125</v>
      </c>
      <c r="F31" s="2">
        <f>Q11</f>
        <v>0</v>
      </c>
      <c r="G31" s="11"/>
      <c r="H31" s="54"/>
      <c r="L31" s="36"/>
    </row>
    <row r="32" spans="1:22" x14ac:dyDescent="0.35">
      <c r="A32" s="1" t="s">
        <v>5</v>
      </c>
      <c r="B32" s="17" t="s">
        <v>4</v>
      </c>
      <c r="C32">
        <v>477</v>
      </c>
      <c r="D32" t="s">
        <v>9</v>
      </c>
      <c r="E32" t="s">
        <v>127</v>
      </c>
      <c r="F32" s="2">
        <f>R11</f>
        <v>0</v>
      </c>
      <c r="G32" s="11"/>
      <c r="H32" s="54"/>
      <c r="L32" s="36" t="s">
        <v>66</v>
      </c>
      <c r="M32">
        <v>18</v>
      </c>
      <c r="N32" s="33"/>
      <c r="O32" s="33"/>
      <c r="P32" s="33"/>
      <c r="Q32" s="33"/>
      <c r="R32" s="33"/>
      <c r="S32" s="36">
        <f>INDEX('Dep Pension contributions'!A:N,MATCH(S3,'Dep Pension contributions'!A:A,0),MATCH(L32,'Dep Pension contributions'!7:7,0))</f>
        <v>1670.24</v>
      </c>
      <c r="U32">
        <f>INDEX('Dep Pension contributions'!$A:$N,MATCH($U$3,'Dep Pension contributions'!$A:$A,0),MATCH(L32,'Dep Pension contributions'!$7:$7,0))</f>
        <v>1670.24</v>
      </c>
      <c r="V32">
        <f t="shared" si="0"/>
        <v>0</v>
      </c>
    </row>
    <row r="33" spans="1:22" x14ac:dyDescent="0.35">
      <c r="A33" s="1"/>
      <c r="B33" s="16" t="s">
        <v>4</v>
      </c>
      <c r="C33" s="8">
        <v>477</v>
      </c>
      <c r="D33" s="8" t="s">
        <v>110</v>
      </c>
      <c r="E33" s="15" t="s">
        <v>3</v>
      </c>
      <c r="F33" s="45">
        <f>N10</f>
        <v>0</v>
      </c>
      <c r="G33" s="9"/>
      <c r="H33" s="54"/>
      <c r="L33" s="36" t="s">
        <v>67</v>
      </c>
      <c r="M33">
        <v>16</v>
      </c>
      <c r="N33" s="36">
        <f>INDEX('Dep Pension contributions'!A:N,MATCH(N3,'Dep Pension contributions'!A:A,0),MATCH(L33,'Dep Pension contributions'!7:7,0))</f>
        <v>0</v>
      </c>
      <c r="O33" s="36">
        <f>INDEX('Dep Pension contributions'!A:N,MATCH(O3,'Dep Pension contributions'!A:A,0),MATCH(L33,'Dep Pension contributions'!7:7,0))</f>
        <v>289.51</v>
      </c>
      <c r="P33" s="36">
        <f>INDEX('Dep Pension contributions'!A:N,MATCH(P3,'Dep Pension contributions'!A:A,0),MATCH(L33,'Dep Pension contributions'!7:7,0))</f>
        <v>191.87</v>
      </c>
      <c r="Q33" s="36">
        <f>INDEX('Dep Pension contributions'!A:N,MATCH(Q3,'Dep Pension contributions'!A:A,0),MATCH(L33,'Dep Pension contributions'!7:7,0))</f>
        <v>221.44</v>
      </c>
      <c r="R33" s="36">
        <f>INDEX('Dep Pension contributions'!A:N,MATCH(R3,'Dep Pension contributions'!A:A,0),MATCH(L33,'Dep Pension contributions'!7:7,0))</f>
        <v>251.58</v>
      </c>
      <c r="S33">
        <f>SUM(N33:R33)</f>
        <v>954.4</v>
      </c>
      <c r="U33">
        <f>INDEX('Dep Pension contributions'!$A:$N,MATCH($U$3,'Dep Pension contributions'!$A:$A,0),MATCH(L33,'Dep Pension contributions'!$7:$7,0))</f>
        <v>954.4</v>
      </c>
      <c r="V33">
        <f t="shared" si="0"/>
        <v>0</v>
      </c>
    </row>
    <row r="34" spans="1:22" x14ac:dyDescent="0.35">
      <c r="A34" s="1"/>
      <c r="B34" s="17" t="s">
        <v>4</v>
      </c>
      <c r="C34">
        <v>477</v>
      </c>
      <c r="D34" t="s">
        <v>110</v>
      </c>
      <c r="E34" t="s">
        <v>121</v>
      </c>
      <c r="F34" s="2">
        <f>O10</f>
        <v>0</v>
      </c>
      <c r="G34" s="11"/>
      <c r="H34" s="54"/>
      <c r="L34" s="36" t="s">
        <v>68</v>
      </c>
      <c r="M34">
        <v>17</v>
      </c>
      <c r="N34" s="36">
        <f>INDEX('Dep Pension contributions'!A:N,MATCH(N3,'Dep Pension contributions'!A:A,0),MATCH(L34,'Dep Pension contributions'!7:7,0))</f>
        <v>0</v>
      </c>
      <c r="O34" s="36">
        <f>INDEX('Dep Pension contributions'!A:N,MATCH(O3,'Dep Pension contributions'!A:A,0),MATCH(L34,'Dep Pension contributions'!7:7,0))</f>
        <v>217.15</v>
      </c>
      <c r="P34" s="36">
        <f>INDEX('Dep Pension contributions'!A:N,MATCH(P3,'Dep Pension contributions'!A:A,0),MATCH(L34,'Dep Pension contributions'!7:7,0))</f>
        <v>143.91</v>
      </c>
      <c r="Q34" s="36">
        <f>INDEX('Dep Pension contributions'!A:N,MATCH(Q3,'Dep Pension contributions'!A:A,0),MATCH(L34,'Dep Pension contributions'!7:7,0))</f>
        <v>166.08</v>
      </c>
      <c r="R34" s="36">
        <f>INDEX('Dep Pension contributions'!A:N,MATCH(R3,'Dep Pension contributions'!A:A,0),MATCH(L34,'Dep Pension contributions'!7:7,0))</f>
        <v>188.7</v>
      </c>
      <c r="S34">
        <f>SUM(N34:R34)</f>
        <v>715.83999999999992</v>
      </c>
      <c r="U34">
        <f>INDEX('Dep Pension contributions'!$A:$N,MATCH($U$3,'Dep Pension contributions'!$A:$A,0),MATCH(L34,'Dep Pension contributions'!$7:$7,0))</f>
        <v>715.84</v>
      </c>
      <c r="V34">
        <f t="shared" si="0"/>
        <v>0</v>
      </c>
    </row>
    <row r="35" spans="1:22" x14ac:dyDescent="0.35">
      <c r="A35" s="1"/>
      <c r="B35" s="17" t="s">
        <v>4</v>
      </c>
      <c r="C35">
        <v>477</v>
      </c>
      <c r="D35" t="s">
        <v>110</v>
      </c>
      <c r="E35" t="s">
        <v>123</v>
      </c>
      <c r="F35" s="2">
        <f>P10</f>
        <v>0</v>
      </c>
      <c r="G35" s="11"/>
      <c r="H35" s="54"/>
    </row>
    <row r="36" spans="1:22" x14ac:dyDescent="0.35">
      <c r="A36" s="1"/>
      <c r="B36" s="17" t="s">
        <v>4</v>
      </c>
      <c r="C36">
        <v>477</v>
      </c>
      <c r="D36" t="s">
        <v>110</v>
      </c>
      <c r="E36" t="s">
        <v>125</v>
      </c>
      <c r="F36" s="2">
        <f>Q10</f>
        <v>0</v>
      </c>
      <c r="G36" s="11"/>
      <c r="H36" s="54"/>
    </row>
    <row r="37" spans="1:22" x14ac:dyDescent="0.35">
      <c r="A37" s="1"/>
      <c r="B37" s="18" t="s">
        <v>4</v>
      </c>
      <c r="C37" s="13">
        <v>477</v>
      </c>
      <c r="D37" s="13" t="s">
        <v>110</v>
      </c>
      <c r="E37" s="13" t="s">
        <v>127</v>
      </c>
      <c r="F37" s="41">
        <f>R10</f>
        <v>47.5</v>
      </c>
      <c r="G37" s="14"/>
      <c r="H37" s="54"/>
    </row>
    <row r="38" spans="1:22" x14ac:dyDescent="0.35">
      <c r="A38" s="1"/>
      <c r="B38" s="16" t="s">
        <v>4</v>
      </c>
      <c r="C38" s="8">
        <v>477</v>
      </c>
      <c r="D38" s="8" t="s">
        <v>97</v>
      </c>
      <c r="E38" s="15" t="s">
        <v>3</v>
      </c>
      <c r="F38" s="45"/>
      <c r="G38" s="9">
        <f>N55</f>
        <v>0</v>
      </c>
      <c r="H38" s="54"/>
    </row>
    <row r="39" spans="1:22" x14ac:dyDescent="0.35">
      <c r="A39" s="1"/>
      <c r="B39" s="17" t="s">
        <v>4</v>
      </c>
      <c r="C39">
        <v>477</v>
      </c>
      <c r="D39" t="s">
        <v>97</v>
      </c>
      <c r="E39" t="s">
        <v>121</v>
      </c>
      <c r="F39" s="2"/>
      <c r="G39" s="11">
        <f>O55</f>
        <v>0</v>
      </c>
      <c r="H39" s="54"/>
      <c r="L39" s="37" t="s">
        <v>73</v>
      </c>
      <c r="M39">
        <v>22</v>
      </c>
      <c r="N39" s="37">
        <f>INDEX('Dep Tax and NIC'!A:N,MATCH(N3,'Dep Tax and NIC'!A:A,0),MATCH(L39,'Dep Tax and NIC'!7:7,0))</f>
        <v>182.66</v>
      </c>
      <c r="O39" s="37">
        <f>INDEX('Dep Tax and NIC'!A:N,MATCH(O3,'Dep Tax and NIC'!A:A,0),MATCH(L39,'Dep Tax and NIC'!7:7,0))</f>
        <v>1241.49</v>
      </c>
      <c r="P39" s="37">
        <f>INDEX('Dep Tax and NIC'!A:N,MATCH(P3,'Dep Tax and NIC'!A:A,0),MATCH(L39,'Dep Tax and NIC'!7:7,0))</f>
        <v>781.24</v>
      </c>
      <c r="Q39" s="37">
        <f>INDEX('Dep Tax and NIC'!A:N,MATCH(Q3,'Dep Tax and NIC'!A:A,0),MATCH(L39,'Dep Tax and NIC'!7:7,0))</f>
        <v>907.51</v>
      </c>
      <c r="R39" s="37">
        <f>INDEX('Dep Tax and NIC'!A:N,MATCH(R3,'Dep Tax and NIC'!A:A,0),MATCH(L39,'Dep Tax and NIC'!7:7,0))</f>
        <v>1020.59</v>
      </c>
      <c r="S39">
        <f>SUM(N39:R39)</f>
        <v>4133.4900000000007</v>
      </c>
      <c r="U39">
        <f>INDEX('Dep Tax and NIC'!$A:$N,MATCH($U$3,'Dep Tax and NIC'!$A:$A,0),MATCH(L39,'Dep Tax and NIC'!$7:$7,0))</f>
        <v>4133.49</v>
      </c>
      <c r="V39">
        <f t="shared" si="0"/>
        <v>0</v>
      </c>
    </row>
    <row r="40" spans="1:22" x14ac:dyDescent="0.35">
      <c r="A40" s="1"/>
      <c r="B40" s="17" t="s">
        <v>4</v>
      </c>
      <c r="C40">
        <v>477</v>
      </c>
      <c r="D40" t="s">
        <v>97</v>
      </c>
      <c r="E40" t="s">
        <v>123</v>
      </c>
      <c r="F40" s="2"/>
      <c r="G40" s="11">
        <f>P55</f>
        <v>0</v>
      </c>
      <c r="H40" s="54"/>
      <c r="L40" s="37" t="s">
        <v>51</v>
      </c>
      <c r="S40" s="37">
        <f>VLOOKUP(L40,'Dep Tax and NIC'!A:B,2,0)</f>
        <v>8655.6200000000008</v>
      </c>
    </row>
    <row r="41" spans="1:22" ht="15" thickBot="1" x14ac:dyDescent="0.4">
      <c r="A41" s="1"/>
      <c r="B41" s="17" t="s">
        <v>4</v>
      </c>
      <c r="C41">
        <v>477</v>
      </c>
      <c r="D41" t="s">
        <v>97</v>
      </c>
      <c r="E41" t="s">
        <v>125</v>
      </c>
      <c r="F41" s="2"/>
      <c r="G41" s="11">
        <f>Q55</f>
        <v>50</v>
      </c>
      <c r="H41" s="54"/>
    </row>
    <row r="42" spans="1:22" x14ac:dyDescent="0.35">
      <c r="A42" s="1"/>
      <c r="B42" s="18" t="s">
        <v>4</v>
      </c>
      <c r="C42" s="13">
        <v>477</v>
      </c>
      <c r="D42" s="13" t="s">
        <v>97</v>
      </c>
      <c r="E42" s="13" t="s">
        <v>127</v>
      </c>
      <c r="F42" s="41"/>
      <c r="G42" s="14">
        <f>R55</f>
        <v>0</v>
      </c>
      <c r="H42" s="48" t="s">
        <v>78</v>
      </c>
    </row>
    <row r="43" spans="1:22" ht="15" thickBot="1" x14ac:dyDescent="0.4">
      <c r="F43" s="4">
        <f>SUM(F4:F42)</f>
        <v>45269.740000000005</v>
      </c>
      <c r="G43" s="40">
        <f>SUM(G4:G42)</f>
        <v>45269.74</v>
      </c>
      <c r="H43" s="31">
        <f>G43-F43</f>
        <v>0</v>
      </c>
    </row>
    <row r="44" spans="1:22" ht="15" thickTop="1" x14ac:dyDescent="0.35">
      <c r="L44" s="38" t="s">
        <v>83</v>
      </c>
      <c r="M44" s="8"/>
      <c r="N44" s="8">
        <f>ROUND($S$44*N46,2)</f>
        <v>0</v>
      </c>
      <c r="O44" s="8">
        <f>ROUND($S$44*O46,2)</f>
        <v>0</v>
      </c>
      <c r="P44" s="8">
        <f>ROUND($S$44*P46,2)</f>
        <v>0</v>
      </c>
      <c r="Q44" s="8">
        <f>ROUND($S$44*Q46,2)</f>
        <v>0</v>
      </c>
      <c r="R44" s="8">
        <f>ROUND($S$44*R46,2)</f>
        <v>0</v>
      </c>
      <c r="S44" s="49">
        <f>IFERROR(-VLOOKUP(L44,'Dep extended'!A:B,2,0),0)</f>
        <v>0</v>
      </c>
    </row>
    <row r="45" spans="1:22" x14ac:dyDescent="0.35">
      <c r="A45" s="1" t="s">
        <v>79</v>
      </c>
      <c r="B45" s="5" t="s">
        <v>1</v>
      </c>
      <c r="C45" s="6">
        <v>814</v>
      </c>
      <c r="D45" s="6"/>
      <c r="E45" s="6"/>
      <c r="F45" s="6"/>
      <c r="G45" s="29">
        <f>S32</f>
        <v>1670.24</v>
      </c>
      <c r="H45" s="54">
        <v>18</v>
      </c>
      <c r="L45" s="10"/>
      <c r="S45" s="11"/>
    </row>
    <row r="46" spans="1:22" x14ac:dyDescent="0.35">
      <c r="A46" s="1" t="s">
        <v>79</v>
      </c>
      <c r="B46" s="7" t="s">
        <v>10</v>
      </c>
      <c r="C46" s="8">
        <v>482</v>
      </c>
      <c r="D46" s="8"/>
      <c r="E46" s="15" t="s">
        <v>3</v>
      </c>
      <c r="F46" s="8">
        <f>N33+N34</f>
        <v>0</v>
      </c>
      <c r="G46" s="9"/>
      <c r="H46" s="54" t="s">
        <v>76</v>
      </c>
      <c r="L46" s="12" t="s">
        <v>104</v>
      </c>
      <c r="M46" s="13"/>
      <c r="N46" s="34">
        <f>N39/S39</f>
        <v>4.4190260530447625E-2</v>
      </c>
      <c r="O46" s="34">
        <f>O39/$S$39</f>
        <v>0.30034909967122209</v>
      </c>
      <c r="P46" s="34">
        <f>P39/S39</f>
        <v>0.18900251361440329</v>
      </c>
      <c r="Q46" s="34">
        <f>Q39/S39</f>
        <v>0.21955054929369608</v>
      </c>
      <c r="R46" s="34">
        <f>R39/S39</f>
        <v>0.24690757689023074</v>
      </c>
      <c r="S46" s="14">
        <f>S39</f>
        <v>4133.4900000000007</v>
      </c>
    </row>
    <row r="47" spans="1:22" x14ac:dyDescent="0.35">
      <c r="A47" s="1" t="s">
        <v>79</v>
      </c>
      <c r="B47" s="10" t="s">
        <v>10</v>
      </c>
      <c r="C47">
        <v>482</v>
      </c>
      <c r="E47" t="s">
        <v>121</v>
      </c>
      <c r="F47">
        <f>O33+O34</f>
        <v>506.65999999999997</v>
      </c>
      <c r="G47" s="11"/>
      <c r="H47" s="54"/>
    </row>
    <row r="48" spans="1:22" x14ac:dyDescent="0.35">
      <c r="A48" s="1" t="s">
        <v>79</v>
      </c>
      <c r="B48" s="10" t="s">
        <v>10</v>
      </c>
      <c r="C48">
        <v>482</v>
      </c>
      <c r="E48" t="s">
        <v>123</v>
      </c>
      <c r="F48">
        <f>P33+P34</f>
        <v>335.78</v>
      </c>
      <c r="G48" s="11"/>
      <c r="H48" s="54"/>
    </row>
    <row r="49" spans="1:19" ht="15" thickBot="1" x14ac:dyDescent="0.4">
      <c r="A49" s="1" t="s">
        <v>79</v>
      </c>
      <c r="B49" s="10" t="s">
        <v>10</v>
      </c>
      <c r="C49">
        <v>482</v>
      </c>
      <c r="E49" t="s">
        <v>125</v>
      </c>
      <c r="F49">
        <f>Q33+Q34</f>
        <v>387.52</v>
      </c>
      <c r="G49" s="11"/>
      <c r="H49" s="54"/>
      <c r="L49" s="38" t="s">
        <v>49</v>
      </c>
      <c r="M49" s="8">
        <v>23</v>
      </c>
      <c r="N49" s="8">
        <f>$S$49*N52</f>
        <v>0</v>
      </c>
      <c r="O49" s="8">
        <f>$S$49*O52</f>
        <v>0</v>
      </c>
      <c r="P49" s="8">
        <f>$S$49*P52</f>
        <v>0</v>
      </c>
      <c r="Q49" s="8">
        <f>$S$49*Q52</f>
        <v>0</v>
      </c>
      <c r="R49" s="8">
        <f>$S$49*R52</f>
        <v>0</v>
      </c>
      <c r="S49" s="49">
        <f>IFERROR(VLOOKUP(L49,'Dep extended'!A:B,2,0),0)</f>
        <v>0</v>
      </c>
    </row>
    <row r="50" spans="1:19" x14ac:dyDescent="0.35">
      <c r="A50" s="1" t="s">
        <v>79</v>
      </c>
      <c r="B50" s="12" t="s">
        <v>10</v>
      </c>
      <c r="C50" s="13">
        <v>482</v>
      </c>
      <c r="D50" s="13"/>
      <c r="E50" s="13" t="s">
        <v>127</v>
      </c>
      <c r="F50" s="13">
        <f>R33+R34</f>
        <v>440.28</v>
      </c>
      <c r="G50" s="13"/>
      <c r="H50" s="30" t="s">
        <v>78</v>
      </c>
      <c r="L50" s="46" t="s">
        <v>80</v>
      </c>
      <c r="S50" s="11"/>
    </row>
    <row r="51" spans="1:19" ht="15" thickBot="1" x14ac:dyDescent="0.4">
      <c r="F51" s="4">
        <f>SUM(F45:F50)</f>
        <v>1670.24</v>
      </c>
      <c r="G51" s="40">
        <f>SUM(G45:G50)</f>
        <v>1670.24</v>
      </c>
      <c r="H51" s="31">
        <f>G51-F51</f>
        <v>0</v>
      </c>
      <c r="L51" s="10"/>
      <c r="S51" s="11"/>
    </row>
    <row r="52" spans="1:19" ht="15" thickTop="1" x14ac:dyDescent="0.35">
      <c r="H52" s="54"/>
      <c r="L52" s="12" t="s">
        <v>111</v>
      </c>
      <c r="M52" s="13"/>
      <c r="N52" s="13">
        <f>IFERROR(N11/S52,0)</f>
        <v>0</v>
      </c>
      <c r="O52" s="13">
        <f>IFERROR(O11/S52,0)</f>
        <v>0</v>
      </c>
      <c r="P52" s="13">
        <f>IFERROR(P11/S52,0)</f>
        <v>0</v>
      </c>
      <c r="Q52" s="13">
        <f>IFERROR(Q11/S52,0)</f>
        <v>0</v>
      </c>
      <c r="R52" s="13">
        <f>IFERROR(R11/S52,0)</f>
        <v>0</v>
      </c>
      <c r="S52" s="14">
        <f>S11</f>
        <v>0</v>
      </c>
    </row>
    <row r="53" spans="1:19" x14ac:dyDescent="0.35">
      <c r="B53" s="5" t="s">
        <v>11</v>
      </c>
      <c r="C53" s="6">
        <v>825</v>
      </c>
      <c r="D53" s="6"/>
      <c r="E53" s="6"/>
      <c r="F53" s="6"/>
      <c r="G53" s="29">
        <f>S40</f>
        <v>8655.6200000000008</v>
      </c>
      <c r="H53" s="54">
        <v>19</v>
      </c>
    </row>
    <row r="54" spans="1:19" x14ac:dyDescent="0.35">
      <c r="B54" s="16" t="s">
        <v>12</v>
      </c>
      <c r="C54" s="15">
        <v>479</v>
      </c>
      <c r="D54" s="15" t="s">
        <v>13</v>
      </c>
      <c r="E54" s="15" t="s">
        <v>3</v>
      </c>
      <c r="F54" s="8">
        <f>N20+N21</f>
        <v>111.4</v>
      </c>
      <c r="G54" s="9"/>
      <c r="H54" s="54" t="s">
        <v>103</v>
      </c>
      <c r="L54" s="50" t="s">
        <v>114</v>
      </c>
      <c r="M54" s="8"/>
      <c r="N54" s="51">
        <f>INDEX('Dep  Subs and Loans'!$A:$D,MATCH(N3,'Dep  Subs and Loans'!$A:$A,0),MATCH($L$54,'Dep  Subs and Loans'!$7:$7,0))</f>
        <v>0</v>
      </c>
      <c r="O54" s="51">
        <f>INDEX('Dep  Subs and Loans'!$A:$D,MATCH(O3,'Dep  Subs and Loans'!$A:$A,0),MATCH($L$54,'Dep  Subs and Loans'!$7:$7,0))</f>
        <v>0</v>
      </c>
      <c r="P54" s="51">
        <f>INDEX('Dep  Subs and Loans'!$A:$D,MATCH(P3,'Dep  Subs and Loans'!$A:$A,0),MATCH($L$54,'Dep  Subs and Loans'!$7:$7,0))</f>
        <v>0</v>
      </c>
      <c r="Q54" s="51">
        <f>INDEX('Dep  Subs and Loans'!$A:$D,MATCH(Q3,'Dep  Subs and Loans'!$A:$A,0),MATCH($L$54,'Dep  Subs and Loans'!$7:$7,0))</f>
        <v>500</v>
      </c>
      <c r="R54" s="51">
        <f>INDEX('Dep  Subs and Loans'!$A:$D,MATCH(R3,'Dep  Subs and Loans'!$A:$A,0),MATCH($L$54,'Dep  Subs and Loans'!$7:$7,0))</f>
        <v>0</v>
      </c>
      <c r="S54" s="9">
        <f>SUM(N54:R54)</f>
        <v>500</v>
      </c>
    </row>
    <row r="55" spans="1:19" x14ac:dyDescent="0.35">
      <c r="B55" s="17" t="s">
        <v>12</v>
      </c>
      <c r="C55" s="1">
        <v>479</v>
      </c>
      <c r="D55" s="1" t="s">
        <v>13</v>
      </c>
      <c r="E55" t="s">
        <v>121</v>
      </c>
      <c r="F55">
        <f>O20+O21</f>
        <v>1774.68</v>
      </c>
      <c r="G55" s="11"/>
      <c r="H55" s="54"/>
      <c r="L55" s="52" t="s">
        <v>115</v>
      </c>
      <c r="N55" s="53">
        <f>INDEX('Dep  Subs and Loans'!$A:$D,MATCH(N3,'Dep  Subs and Loans'!$A:$A,0),MATCH($L$55,'Dep  Subs and Loans'!$7:$7,0))</f>
        <v>0</v>
      </c>
      <c r="O55" s="53">
        <f>INDEX('Dep  Subs and Loans'!$A:$D,MATCH(O3,'Dep  Subs and Loans'!$A:$A,0),MATCH($L$55,'Dep  Subs and Loans'!$7:$7,0))</f>
        <v>0</v>
      </c>
      <c r="P55" s="53">
        <f>INDEX('Dep  Subs and Loans'!$A:$D,MATCH(P3,'Dep  Subs and Loans'!$A:$A,0),MATCH($L$55,'Dep  Subs and Loans'!$7:$7,0))</f>
        <v>0</v>
      </c>
      <c r="Q55" s="53">
        <f>INDEX('Dep  Subs and Loans'!$A:$D,MATCH(Q3,'Dep  Subs and Loans'!$A:$A,0),MATCH($L$55,'Dep  Subs and Loans'!$7:$7,0))</f>
        <v>50</v>
      </c>
      <c r="R55" s="53">
        <f>INDEX('Dep  Subs and Loans'!$A:$D,MATCH(R3,'Dep  Subs and Loans'!$A:$A,0),MATCH($L$55,'Dep  Subs and Loans'!$7:$7,0))</f>
        <v>0</v>
      </c>
      <c r="S55" s="11">
        <f>SUM(N55:R55)</f>
        <v>50</v>
      </c>
    </row>
    <row r="56" spans="1:19" x14ac:dyDescent="0.35">
      <c r="B56" s="17" t="s">
        <v>12</v>
      </c>
      <c r="C56" s="1">
        <v>479</v>
      </c>
      <c r="D56" s="1" t="s">
        <v>13</v>
      </c>
      <c r="E56" t="s">
        <v>123</v>
      </c>
      <c r="F56">
        <f>P20+P21</f>
        <v>773.73</v>
      </c>
      <c r="G56" s="11"/>
      <c r="H56" s="54"/>
      <c r="L56" s="12" t="s">
        <v>118</v>
      </c>
      <c r="M56" s="13"/>
      <c r="N56" s="13"/>
      <c r="O56" s="13"/>
      <c r="P56" s="13"/>
      <c r="Q56" s="13"/>
      <c r="R56" s="13"/>
      <c r="S56" s="14">
        <f>S54-S55</f>
        <v>450</v>
      </c>
    </row>
    <row r="57" spans="1:19" x14ac:dyDescent="0.35">
      <c r="B57" s="17" t="s">
        <v>12</v>
      </c>
      <c r="C57" s="1">
        <v>479</v>
      </c>
      <c r="D57" s="1" t="s">
        <v>13</v>
      </c>
      <c r="E57" t="s">
        <v>125</v>
      </c>
      <c r="F57">
        <f>Q20+Q21</f>
        <v>876.41</v>
      </c>
      <c r="G57" s="11"/>
      <c r="H57" s="54"/>
    </row>
    <row r="58" spans="1:19" x14ac:dyDescent="0.35">
      <c r="B58" s="18" t="s">
        <v>12</v>
      </c>
      <c r="C58" s="19">
        <v>479</v>
      </c>
      <c r="D58" s="19" t="s">
        <v>13</v>
      </c>
      <c r="E58" s="13" t="s">
        <v>127</v>
      </c>
      <c r="F58" s="13">
        <f>R20+R21</f>
        <v>964.91000000000008</v>
      </c>
      <c r="G58" s="14"/>
      <c r="H58" s="54"/>
    </row>
    <row r="59" spans="1:19" x14ac:dyDescent="0.35">
      <c r="B59" s="16" t="s">
        <v>14</v>
      </c>
      <c r="C59" s="15">
        <v>479</v>
      </c>
      <c r="D59" s="15" t="s">
        <v>15</v>
      </c>
      <c r="E59" s="15" t="s">
        <v>3</v>
      </c>
      <c r="F59" s="8">
        <f>N39</f>
        <v>182.66</v>
      </c>
      <c r="G59" s="9"/>
      <c r="H59" s="54">
        <v>22</v>
      </c>
    </row>
    <row r="60" spans="1:19" x14ac:dyDescent="0.35">
      <c r="B60" s="17" t="s">
        <v>14</v>
      </c>
      <c r="C60" s="1">
        <v>479</v>
      </c>
      <c r="D60" s="1" t="s">
        <v>15</v>
      </c>
      <c r="E60" t="s">
        <v>121</v>
      </c>
      <c r="F60">
        <f>O39</f>
        <v>1241.49</v>
      </c>
      <c r="G60" s="11"/>
      <c r="H60" s="54"/>
    </row>
    <row r="61" spans="1:19" x14ac:dyDescent="0.35">
      <c r="B61" s="17" t="s">
        <v>14</v>
      </c>
      <c r="C61" s="1">
        <v>479</v>
      </c>
      <c r="D61" s="1" t="s">
        <v>15</v>
      </c>
      <c r="E61" t="s">
        <v>123</v>
      </c>
      <c r="F61">
        <f>P39</f>
        <v>781.24</v>
      </c>
      <c r="G61" s="11"/>
      <c r="H61" s="54"/>
    </row>
    <row r="62" spans="1:19" x14ac:dyDescent="0.35">
      <c r="B62" s="17" t="s">
        <v>14</v>
      </c>
      <c r="C62" s="1">
        <v>479</v>
      </c>
      <c r="D62" s="1" t="s">
        <v>15</v>
      </c>
      <c r="E62" t="s">
        <v>125</v>
      </c>
      <c r="F62">
        <f>Q39</f>
        <v>907.51</v>
      </c>
      <c r="G62" s="11"/>
      <c r="H62" s="54"/>
    </row>
    <row r="63" spans="1:19" x14ac:dyDescent="0.35">
      <c r="B63" s="18" t="s">
        <v>14</v>
      </c>
      <c r="C63" s="19">
        <v>479</v>
      </c>
      <c r="D63" s="19" t="s">
        <v>15</v>
      </c>
      <c r="E63" s="13" t="s">
        <v>127</v>
      </c>
      <c r="F63" s="13">
        <f>R39</f>
        <v>1020.59</v>
      </c>
      <c r="G63" s="14"/>
      <c r="H63" s="54"/>
    </row>
    <row r="64" spans="1:19" x14ac:dyDescent="0.35">
      <c r="B64" s="7" t="s">
        <v>16</v>
      </c>
      <c r="C64" s="15">
        <v>479</v>
      </c>
      <c r="D64" s="8" t="s">
        <v>17</v>
      </c>
      <c r="E64" s="15" t="s">
        <v>3</v>
      </c>
      <c r="F64" s="45"/>
      <c r="G64" s="9">
        <f>N44</f>
        <v>0</v>
      </c>
      <c r="H64" s="54"/>
    </row>
    <row r="65" spans="2:8" x14ac:dyDescent="0.35">
      <c r="B65" s="10" t="s">
        <v>16</v>
      </c>
      <c r="C65" s="1">
        <v>479</v>
      </c>
      <c r="D65" t="s">
        <v>17</v>
      </c>
      <c r="E65" t="s">
        <v>121</v>
      </c>
      <c r="G65" s="11">
        <f>O44</f>
        <v>0</v>
      </c>
      <c r="H65" s="54"/>
    </row>
    <row r="66" spans="2:8" x14ac:dyDescent="0.35">
      <c r="B66" s="10" t="s">
        <v>16</v>
      </c>
      <c r="C66" s="1">
        <v>479</v>
      </c>
      <c r="D66" t="s">
        <v>17</v>
      </c>
      <c r="E66" t="s">
        <v>123</v>
      </c>
      <c r="G66" s="11">
        <f>P44</f>
        <v>0</v>
      </c>
      <c r="H66" s="54"/>
    </row>
    <row r="67" spans="2:8" x14ac:dyDescent="0.35">
      <c r="B67" s="10" t="s">
        <v>16</v>
      </c>
      <c r="C67" s="1">
        <v>479</v>
      </c>
      <c r="D67" t="s">
        <v>17</v>
      </c>
      <c r="E67" t="s">
        <v>125</v>
      </c>
      <c r="G67" s="11">
        <f>Q44</f>
        <v>0</v>
      </c>
      <c r="H67" s="54"/>
    </row>
    <row r="68" spans="2:8" x14ac:dyDescent="0.35">
      <c r="B68" s="12" t="s">
        <v>16</v>
      </c>
      <c r="C68" s="19">
        <v>479</v>
      </c>
      <c r="D68" s="13" t="s">
        <v>17</v>
      </c>
      <c r="E68" s="13" t="s">
        <v>127</v>
      </c>
      <c r="F68" s="13"/>
      <c r="G68" s="14">
        <f>R44</f>
        <v>0</v>
      </c>
      <c r="H68" s="54"/>
    </row>
    <row r="69" spans="2:8" x14ac:dyDescent="0.35">
      <c r="B69" s="20" t="s">
        <v>4</v>
      </c>
      <c r="C69" s="8">
        <v>477</v>
      </c>
      <c r="D69" s="21" t="s">
        <v>18</v>
      </c>
      <c r="E69" s="15" t="s">
        <v>3</v>
      </c>
      <c r="F69">
        <f>N49</f>
        <v>0</v>
      </c>
      <c r="G69" s="9"/>
      <c r="H69" s="54">
        <v>23</v>
      </c>
    </row>
    <row r="70" spans="2:8" x14ac:dyDescent="0.35">
      <c r="B70" s="22" t="s">
        <v>4</v>
      </c>
      <c r="C70">
        <v>477</v>
      </c>
      <c r="D70" s="23" t="s">
        <v>18</v>
      </c>
      <c r="E70" t="s">
        <v>121</v>
      </c>
      <c r="F70">
        <f>O49</f>
        <v>0</v>
      </c>
      <c r="G70" s="11"/>
      <c r="H70" s="54"/>
    </row>
    <row r="71" spans="2:8" x14ac:dyDescent="0.35">
      <c r="B71" s="22" t="s">
        <v>4</v>
      </c>
      <c r="C71">
        <v>477</v>
      </c>
      <c r="D71" s="23" t="s">
        <v>18</v>
      </c>
      <c r="E71" t="s">
        <v>123</v>
      </c>
      <c r="F71">
        <f>P49</f>
        <v>0</v>
      </c>
      <c r="G71" s="11"/>
      <c r="H71" s="54"/>
    </row>
    <row r="72" spans="2:8" x14ac:dyDescent="0.35">
      <c r="B72" s="22" t="s">
        <v>4</v>
      </c>
      <c r="C72">
        <v>477</v>
      </c>
      <c r="D72" s="23" t="s">
        <v>18</v>
      </c>
      <c r="E72" t="s">
        <v>125</v>
      </c>
      <c r="F72">
        <f>Q49</f>
        <v>0</v>
      </c>
      <c r="G72" s="11"/>
      <c r="H72" s="54"/>
    </row>
    <row r="73" spans="2:8" x14ac:dyDescent="0.35">
      <c r="B73" s="24" t="s">
        <v>4</v>
      </c>
      <c r="C73" s="13">
        <v>477</v>
      </c>
      <c r="D73" s="25" t="s">
        <v>18</v>
      </c>
      <c r="E73" s="13" t="s">
        <v>127</v>
      </c>
      <c r="F73" s="13">
        <f>R49</f>
        <v>0</v>
      </c>
      <c r="G73" s="14"/>
      <c r="H73" s="54"/>
    </row>
    <row r="74" spans="2:8" x14ac:dyDescent="0.35">
      <c r="B74" s="7" t="s">
        <v>4</v>
      </c>
      <c r="C74" s="8">
        <v>477</v>
      </c>
      <c r="D74" s="15" t="s">
        <v>19</v>
      </c>
      <c r="E74" s="15" t="s">
        <v>3</v>
      </c>
      <c r="F74" s="8">
        <f>N13+N14</f>
        <v>0</v>
      </c>
      <c r="G74" s="9"/>
      <c r="H74" s="54" t="s">
        <v>77</v>
      </c>
    </row>
    <row r="75" spans="2:8" x14ac:dyDescent="0.35">
      <c r="B75" s="10" t="s">
        <v>4</v>
      </c>
      <c r="C75">
        <v>477</v>
      </c>
      <c r="D75" s="1" t="s">
        <v>19</v>
      </c>
      <c r="E75" t="s">
        <v>121</v>
      </c>
      <c r="F75">
        <f>O13+O14</f>
        <v>0</v>
      </c>
      <c r="G75" s="11"/>
      <c r="H75" s="54"/>
    </row>
    <row r="76" spans="2:8" x14ac:dyDescent="0.35">
      <c r="B76" s="10" t="s">
        <v>4</v>
      </c>
      <c r="C76">
        <v>477</v>
      </c>
      <c r="D76" s="1" t="s">
        <v>19</v>
      </c>
      <c r="E76" t="s">
        <v>123</v>
      </c>
      <c r="F76">
        <f>P13+P14</f>
        <v>0</v>
      </c>
      <c r="G76" s="11"/>
      <c r="H76" s="54"/>
    </row>
    <row r="77" spans="2:8" ht="15" thickBot="1" x14ac:dyDescent="0.4">
      <c r="B77" s="10" t="s">
        <v>4</v>
      </c>
      <c r="C77">
        <v>477</v>
      </c>
      <c r="D77" s="1" t="s">
        <v>19</v>
      </c>
      <c r="E77" t="s">
        <v>125</v>
      </c>
      <c r="F77">
        <f>Q13+Q14</f>
        <v>0</v>
      </c>
      <c r="G77" s="11"/>
      <c r="H77" s="54"/>
    </row>
    <row r="78" spans="2:8" x14ac:dyDescent="0.35">
      <c r="B78" s="12" t="s">
        <v>4</v>
      </c>
      <c r="C78" s="13">
        <v>477</v>
      </c>
      <c r="D78" s="19" t="s">
        <v>19</v>
      </c>
      <c r="E78" s="13" t="s">
        <v>127</v>
      </c>
      <c r="F78" s="13">
        <f>R13+R14</f>
        <v>21</v>
      </c>
      <c r="G78" s="13"/>
      <c r="H78" s="30" t="s">
        <v>78</v>
      </c>
    </row>
    <row r="79" spans="2:8" ht="15" thickBot="1" x14ac:dyDescent="0.4">
      <c r="F79" s="4">
        <f>SUM(F53:F78)</f>
        <v>8655.619999999999</v>
      </c>
      <c r="G79" s="40">
        <f>SUM(G53:G78)</f>
        <v>8655.6200000000008</v>
      </c>
      <c r="H79" s="31">
        <f>G79-F79</f>
        <v>0</v>
      </c>
    </row>
    <row r="80" spans="2:8" ht="15" thickTop="1" x14ac:dyDescent="0.35"/>
    <row r="81" spans="4:7" x14ac:dyDescent="0.35">
      <c r="D81" s="1" t="s">
        <v>81</v>
      </c>
      <c r="F81">
        <f>F79+F51+F43</f>
        <v>55595.600000000006</v>
      </c>
      <c r="G81">
        <f>G79+G51+G43</f>
        <v>55595.6</v>
      </c>
    </row>
  </sheetData>
  <mergeCells count="1">
    <mergeCell ref="N2:R2"/>
  </mergeCells>
  <conditionalFormatting sqref="H43 H51 H79">
    <cfRule type="cellIs" dxfId="1" priority="1" operator="lessThan">
      <formula>0</formula>
    </cfRule>
    <cfRule type="cellIs" dxfId="0" priority="2" operator="greaterThan">
      <formula>0</formula>
    </cfRule>
  </conditionalFormatting>
  <pageMargins left="0.70866141732283472" right="0.70866141732283472" top="0.74803149606299213" bottom="0.74803149606299213" header="0.31496062992125984" footer="0.31496062992125984"/>
  <pageSetup scale="71"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46FD7-62C9-4C8E-B0BF-D1FFFD9B8CC3}">
  <sheetPr codeName="Sheet2">
    <tabColor theme="9" tint="0.79998168889431442"/>
    <pageSetUpPr fitToPage="1"/>
  </sheetPr>
  <dimension ref="A2:U51"/>
  <sheetViews>
    <sheetView topLeftCell="A7" zoomScale="60" zoomScaleNormal="60" workbookViewId="0">
      <selection activeCell="G24" sqref="G24"/>
    </sheetView>
  </sheetViews>
  <sheetFormatPr defaultRowHeight="14.5" x14ac:dyDescent="0.35"/>
  <cols>
    <col min="1" max="1" width="33.54296875" customWidth="1"/>
    <col min="2" max="2" width="17.453125" customWidth="1"/>
    <col min="3" max="3" width="11.26953125" customWidth="1"/>
    <col min="4" max="4" width="12.453125" customWidth="1"/>
    <col min="6" max="12" width="12" customWidth="1"/>
    <col min="21" max="21" width="12" customWidth="1"/>
  </cols>
  <sheetData>
    <row r="2" spans="1:21" x14ac:dyDescent="0.35">
      <c r="A2" t="s">
        <v>129</v>
      </c>
    </row>
    <row r="3" spans="1:21" x14ac:dyDescent="0.35">
      <c r="A3" t="s">
        <v>20</v>
      </c>
    </row>
    <row r="4" spans="1:21" x14ac:dyDescent="0.35">
      <c r="A4" s="3">
        <v>46054</v>
      </c>
    </row>
    <row r="5" spans="1:21" x14ac:dyDescent="0.35">
      <c r="A5" t="s">
        <v>21</v>
      </c>
    </row>
    <row r="6" spans="1:21" x14ac:dyDescent="0.35">
      <c r="A6" t="s">
        <v>22</v>
      </c>
    </row>
    <row r="7" spans="1:21" x14ac:dyDescent="0.35">
      <c r="A7" t="s">
        <v>23</v>
      </c>
      <c r="B7" t="s">
        <v>24</v>
      </c>
      <c r="C7" t="s">
        <v>25</v>
      </c>
      <c r="D7" t="s">
        <v>26</v>
      </c>
      <c r="E7" t="s">
        <v>27</v>
      </c>
      <c r="F7" t="s">
        <v>28</v>
      </c>
      <c r="G7" t="s">
        <v>29</v>
      </c>
      <c r="H7" t="s">
        <v>87</v>
      </c>
      <c r="I7" t="s">
        <v>88</v>
      </c>
      <c r="J7" t="s">
        <v>30</v>
      </c>
      <c r="K7" t="s">
        <v>31</v>
      </c>
      <c r="L7" t="s">
        <v>32</v>
      </c>
      <c r="M7" t="s">
        <v>33</v>
      </c>
      <c r="N7" t="s">
        <v>89</v>
      </c>
      <c r="O7" t="s">
        <v>90</v>
      </c>
      <c r="P7" t="s">
        <v>91</v>
      </c>
      <c r="Q7" t="s">
        <v>92</v>
      </c>
      <c r="R7" t="s">
        <v>93</v>
      </c>
      <c r="S7" t="s">
        <v>34</v>
      </c>
      <c r="T7" t="s">
        <v>35</v>
      </c>
      <c r="U7" t="s">
        <v>36</v>
      </c>
    </row>
    <row r="8" spans="1:21" x14ac:dyDescent="0.35">
      <c r="A8" t="s">
        <v>37</v>
      </c>
      <c r="B8" t="s">
        <v>22</v>
      </c>
      <c r="C8" s="2">
        <v>15111.4</v>
      </c>
      <c r="D8" s="2">
        <v>2051.8000000000002</v>
      </c>
      <c r="E8">
        <v>0</v>
      </c>
      <c r="F8">
        <v>0</v>
      </c>
      <c r="G8" s="2">
        <v>13059.6</v>
      </c>
      <c r="H8">
        <v>0</v>
      </c>
      <c r="I8">
        <v>0</v>
      </c>
      <c r="J8">
        <v>0</v>
      </c>
      <c r="K8">
        <v>0</v>
      </c>
      <c r="L8" s="2">
        <v>0</v>
      </c>
      <c r="M8">
        <v>0</v>
      </c>
      <c r="N8">
        <v>0</v>
      </c>
      <c r="O8">
        <v>0</v>
      </c>
      <c r="P8">
        <v>0</v>
      </c>
      <c r="Q8">
        <v>0</v>
      </c>
      <c r="R8">
        <v>0</v>
      </c>
      <c r="S8">
        <v>0</v>
      </c>
      <c r="T8">
        <v>111.4</v>
      </c>
      <c r="U8" s="2">
        <v>15000</v>
      </c>
    </row>
    <row r="9" spans="1:21" x14ac:dyDescent="0.35">
      <c r="A9" t="s">
        <v>120</v>
      </c>
      <c r="B9" t="s">
        <v>22</v>
      </c>
      <c r="C9" s="2">
        <v>11349.55</v>
      </c>
      <c r="D9" s="2">
        <v>11188.52</v>
      </c>
      <c r="E9" s="2">
        <v>-409.92</v>
      </c>
      <c r="F9">
        <v>-4</v>
      </c>
      <c r="G9">
        <v>570.95000000000005</v>
      </c>
      <c r="H9">
        <v>0</v>
      </c>
      <c r="I9">
        <v>0</v>
      </c>
      <c r="J9">
        <v>0</v>
      </c>
      <c r="K9">
        <v>289.51</v>
      </c>
      <c r="L9" s="2">
        <v>0</v>
      </c>
      <c r="M9">
        <v>0</v>
      </c>
      <c r="N9">
        <v>0</v>
      </c>
      <c r="O9">
        <v>0</v>
      </c>
      <c r="P9">
        <v>0</v>
      </c>
      <c r="Q9">
        <v>0</v>
      </c>
      <c r="R9">
        <v>0</v>
      </c>
      <c r="S9">
        <v>386.48</v>
      </c>
      <c r="T9" s="2">
        <v>1388.2</v>
      </c>
      <c r="U9" s="2">
        <v>9285.36</v>
      </c>
    </row>
    <row r="10" spans="1:21" x14ac:dyDescent="0.35">
      <c r="A10" t="s">
        <v>122</v>
      </c>
      <c r="B10" t="s">
        <v>22</v>
      </c>
      <c r="C10" s="2">
        <v>6876.24</v>
      </c>
      <c r="D10" s="2">
        <v>6876.24</v>
      </c>
      <c r="E10">
        <v>0</v>
      </c>
      <c r="F10">
        <v>0</v>
      </c>
      <c r="G10">
        <v>0</v>
      </c>
      <c r="H10">
        <v>0</v>
      </c>
      <c r="I10">
        <v>0</v>
      </c>
      <c r="J10">
        <v>0</v>
      </c>
      <c r="K10">
        <v>191.87</v>
      </c>
      <c r="L10" s="2">
        <v>0</v>
      </c>
      <c r="M10">
        <v>0</v>
      </c>
      <c r="N10">
        <v>0</v>
      </c>
      <c r="O10">
        <v>0</v>
      </c>
      <c r="P10">
        <v>0</v>
      </c>
      <c r="Q10">
        <v>0</v>
      </c>
      <c r="R10">
        <v>0</v>
      </c>
      <c r="S10">
        <v>214.73</v>
      </c>
      <c r="T10">
        <v>559</v>
      </c>
      <c r="U10" s="2">
        <v>5910.64</v>
      </c>
    </row>
    <row r="11" spans="1:21" x14ac:dyDescent="0.35">
      <c r="A11" t="s">
        <v>124</v>
      </c>
      <c r="B11" t="s">
        <v>22</v>
      </c>
      <c r="C11" s="2">
        <v>8169.57</v>
      </c>
      <c r="D11" s="2">
        <v>8071.69</v>
      </c>
      <c r="E11" s="2">
        <v>63.41</v>
      </c>
      <c r="F11">
        <v>11</v>
      </c>
      <c r="G11">
        <v>34.47</v>
      </c>
      <c r="H11">
        <v>0</v>
      </c>
      <c r="I11">
        <v>0</v>
      </c>
      <c r="J11">
        <v>0</v>
      </c>
      <c r="K11">
        <v>221.44</v>
      </c>
      <c r="L11" s="2">
        <v>0</v>
      </c>
      <c r="M11">
        <v>0</v>
      </c>
      <c r="N11">
        <v>0</v>
      </c>
      <c r="O11">
        <v>0</v>
      </c>
      <c r="P11">
        <v>0</v>
      </c>
      <c r="Q11">
        <v>0</v>
      </c>
      <c r="R11">
        <v>0</v>
      </c>
      <c r="S11">
        <v>231.61</v>
      </c>
      <c r="T11">
        <v>644.79999999999995</v>
      </c>
      <c r="U11" s="2">
        <v>7021.72</v>
      </c>
    </row>
    <row r="12" spans="1:21" x14ac:dyDescent="0.35">
      <c r="A12" t="s">
        <v>126</v>
      </c>
      <c r="B12" t="s">
        <v>22</v>
      </c>
      <c r="C12" s="2">
        <v>9239.51</v>
      </c>
      <c r="D12" s="2">
        <v>9289.0400000000009</v>
      </c>
      <c r="E12">
        <v>-447.55</v>
      </c>
      <c r="F12">
        <v>-5</v>
      </c>
      <c r="G12">
        <v>350.52</v>
      </c>
      <c r="H12">
        <v>0</v>
      </c>
      <c r="I12">
        <v>47.5</v>
      </c>
      <c r="J12">
        <v>0</v>
      </c>
      <c r="K12">
        <v>251.58</v>
      </c>
      <c r="L12" s="2">
        <v>21</v>
      </c>
      <c r="M12">
        <v>0</v>
      </c>
      <c r="N12">
        <v>0</v>
      </c>
      <c r="O12">
        <v>0</v>
      </c>
      <c r="P12">
        <v>0</v>
      </c>
      <c r="Q12">
        <v>0</v>
      </c>
      <c r="R12">
        <v>0</v>
      </c>
      <c r="S12">
        <v>291.91000000000003</v>
      </c>
      <c r="T12">
        <v>673</v>
      </c>
      <c r="U12" s="2">
        <v>8002.02</v>
      </c>
    </row>
    <row r="13" spans="1:21" x14ac:dyDescent="0.35">
      <c r="A13" t="s">
        <v>38</v>
      </c>
      <c r="B13" t="s">
        <v>22</v>
      </c>
      <c r="C13" s="2">
        <v>50746.27</v>
      </c>
      <c r="D13" s="2">
        <v>37477.29</v>
      </c>
      <c r="E13" s="2">
        <v>-794.06</v>
      </c>
      <c r="F13">
        <v>2</v>
      </c>
      <c r="G13" s="2">
        <v>14015.54</v>
      </c>
      <c r="H13" s="2">
        <v>0</v>
      </c>
      <c r="I13">
        <v>47.5</v>
      </c>
      <c r="J13" s="2">
        <v>0</v>
      </c>
      <c r="K13" s="2">
        <v>954.4</v>
      </c>
      <c r="L13" s="2">
        <v>21</v>
      </c>
      <c r="M13">
        <v>0</v>
      </c>
      <c r="N13">
        <v>0</v>
      </c>
      <c r="O13">
        <v>0</v>
      </c>
      <c r="P13">
        <v>0</v>
      </c>
      <c r="Q13">
        <v>0</v>
      </c>
      <c r="R13">
        <v>0</v>
      </c>
      <c r="S13" s="2">
        <v>1124.73</v>
      </c>
      <c r="T13" s="2">
        <v>3376.4</v>
      </c>
      <c r="U13" s="2">
        <v>45219.74</v>
      </c>
    </row>
    <row r="14" spans="1:21" x14ac:dyDescent="0.35">
      <c r="A14" t="s">
        <v>22</v>
      </c>
    </row>
    <row r="15" spans="1:21" x14ac:dyDescent="0.35">
      <c r="A15" t="s">
        <v>82</v>
      </c>
    </row>
    <row r="16" spans="1:21" x14ac:dyDescent="0.35">
      <c r="A16" t="s">
        <v>128</v>
      </c>
    </row>
    <row r="17" spans="1:3" x14ac:dyDescent="0.35">
      <c r="A17" t="s">
        <v>22</v>
      </c>
      <c r="B17" s="2"/>
    </row>
    <row r="18" spans="1:3" x14ac:dyDescent="0.35">
      <c r="A18" t="s">
        <v>39</v>
      </c>
    </row>
    <row r="19" spans="1:3" x14ac:dyDescent="0.35">
      <c r="B19" t="s">
        <v>40</v>
      </c>
      <c r="C19" t="s">
        <v>22</v>
      </c>
    </row>
    <row r="20" spans="1:3" x14ac:dyDescent="0.35">
      <c r="A20" t="s">
        <v>41</v>
      </c>
      <c r="B20" s="2">
        <v>45219.74</v>
      </c>
      <c r="C20" t="s">
        <v>22</v>
      </c>
    </row>
    <row r="21" spans="1:3" x14ac:dyDescent="0.35">
      <c r="A21" t="s">
        <v>22</v>
      </c>
      <c r="B21" t="s">
        <v>22</v>
      </c>
      <c r="C21" t="s">
        <v>22</v>
      </c>
    </row>
    <row r="22" spans="1:3" x14ac:dyDescent="0.35">
      <c r="A22" t="s">
        <v>42</v>
      </c>
      <c r="C22" t="s">
        <v>22</v>
      </c>
    </row>
    <row r="23" spans="1:3" x14ac:dyDescent="0.35">
      <c r="A23" t="s">
        <v>43</v>
      </c>
      <c r="B23" s="2">
        <v>3376.4</v>
      </c>
      <c r="C23" t="s">
        <v>22</v>
      </c>
    </row>
    <row r="24" spans="1:3" x14ac:dyDescent="0.35">
      <c r="A24" t="s">
        <v>44</v>
      </c>
      <c r="B24">
        <v>21</v>
      </c>
      <c r="C24" t="s">
        <v>22</v>
      </c>
    </row>
    <row r="25" spans="1:3" x14ac:dyDescent="0.35">
      <c r="A25" t="s">
        <v>45</v>
      </c>
      <c r="B25" s="2">
        <v>3397.4</v>
      </c>
      <c r="C25" t="s">
        <v>22</v>
      </c>
    </row>
    <row r="26" spans="1:3" x14ac:dyDescent="0.35">
      <c r="A26" t="s">
        <v>22</v>
      </c>
      <c r="B26" s="2" t="s">
        <v>22</v>
      </c>
      <c r="C26" t="s">
        <v>22</v>
      </c>
    </row>
    <row r="27" spans="1:3" x14ac:dyDescent="0.35">
      <c r="A27" t="s">
        <v>46</v>
      </c>
      <c r="B27" s="2"/>
      <c r="C27" t="s">
        <v>22</v>
      </c>
    </row>
    <row r="28" spans="1:3" x14ac:dyDescent="0.35">
      <c r="A28" t="s">
        <v>47</v>
      </c>
      <c r="B28" s="2">
        <v>1124.73</v>
      </c>
      <c r="C28" t="s">
        <v>22</v>
      </c>
    </row>
    <row r="29" spans="1:3" x14ac:dyDescent="0.35">
      <c r="A29" t="s">
        <v>48</v>
      </c>
      <c r="B29" s="2">
        <v>4133.49</v>
      </c>
      <c r="C29" t="s">
        <v>22</v>
      </c>
    </row>
    <row r="30" spans="1:3" x14ac:dyDescent="0.35">
      <c r="A30" t="s">
        <v>50</v>
      </c>
      <c r="B30" s="2">
        <v>5258.22</v>
      </c>
      <c r="C30" t="s">
        <v>22</v>
      </c>
    </row>
    <row r="31" spans="1:3" x14ac:dyDescent="0.35">
      <c r="A31" t="s">
        <v>22</v>
      </c>
      <c r="B31" s="2" t="s">
        <v>22</v>
      </c>
      <c r="C31" t="s">
        <v>22</v>
      </c>
    </row>
    <row r="32" spans="1:3" x14ac:dyDescent="0.35">
      <c r="A32" t="s">
        <v>51</v>
      </c>
      <c r="B32" s="2">
        <v>8655.6200000000008</v>
      </c>
      <c r="C32" t="s">
        <v>22</v>
      </c>
    </row>
    <row r="33" spans="1:3" x14ac:dyDescent="0.35">
      <c r="A33" t="s">
        <v>22</v>
      </c>
      <c r="B33" s="2" t="s">
        <v>22</v>
      </c>
      <c r="C33" t="s">
        <v>22</v>
      </c>
    </row>
    <row r="34" spans="1:3" x14ac:dyDescent="0.35">
      <c r="A34" t="s">
        <v>52</v>
      </c>
      <c r="B34" s="2"/>
      <c r="C34" t="s">
        <v>22</v>
      </c>
    </row>
    <row r="35" spans="1:3" x14ac:dyDescent="0.35">
      <c r="A35" t="s">
        <v>98</v>
      </c>
      <c r="B35" s="2">
        <v>8655.6200000000008</v>
      </c>
      <c r="C35" t="s">
        <v>22</v>
      </c>
    </row>
    <row r="36" spans="1:3" x14ac:dyDescent="0.35">
      <c r="A36" t="s">
        <v>99</v>
      </c>
      <c r="B36" s="2">
        <v>8655.6200000000008</v>
      </c>
      <c r="C36" t="s">
        <v>22</v>
      </c>
    </row>
    <row r="37" spans="1:3" x14ac:dyDescent="0.35">
      <c r="A37" t="s">
        <v>100</v>
      </c>
      <c r="B37" s="2">
        <v>0</v>
      </c>
      <c r="C37" t="s">
        <v>22</v>
      </c>
    </row>
    <row r="38" spans="1:3" x14ac:dyDescent="0.35">
      <c r="A38" t="s">
        <v>22</v>
      </c>
      <c r="B38" s="2" t="s">
        <v>22</v>
      </c>
      <c r="C38" t="s">
        <v>22</v>
      </c>
    </row>
    <row r="39" spans="1:3" x14ac:dyDescent="0.35">
      <c r="A39" t="s">
        <v>53</v>
      </c>
      <c r="B39" s="2"/>
      <c r="C39" t="s">
        <v>22</v>
      </c>
    </row>
    <row r="40" spans="1:3" x14ac:dyDescent="0.35">
      <c r="A40" t="s">
        <v>54</v>
      </c>
      <c r="B40" s="2">
        <v>954.4</v>
      </c>
      <c r="C40" t="s">
        <v>22</v>
      </c>
    </row>
    <row r="41" spans="1:3" x14ac:dyDescent="0.35">
      <c r="A41" t="s">
        <v>55</v>
      </c>
      <c r="B41" s="2">
        <v>715.84</v>
      </c>
      <c r="C41" t="s">
        <v>22</v>
      </c>
    </row>
    <row r="42" spans="1:3" x14ac:dyDescent="0.35">
      <c r="A42" t="s">
        <v>56</v>
      </c>
      <c r="B42" s="2">
        <v>1670.24</v>
      </c>
      <c r="C42" t="s">
        <v>22</v>
      </c>
    </row>
    <row r="43" spans="1:3" x14ac:dyDescent="0.35">
      <c r="A43" t="s">
        <v>22</v>
      </c>
      <c r="B43" s="2" t="s">
        <v>22</v>
      </c>
      <c r="C43" t="s">
        <v>22</v>
      </c>
    </row>
    <row r="44" spans="1:3" x14ac:dyDescent="0.35">
      <c r="A44" t="s">
        <v>57</v>
      </c>
      <c r="B44" s="2">
        <v>55545.599999999999</v>
      </c>
      <c r="C44" t="s">
        <v>22</v>
      </c>
    </row>
    <row r="45" spans="1:3" x14ac:dyDescent="0.35">
      <c r="A45" t="s">
        <v>22</v>
      </c>
      <c r="B45" s="2" t="s">
        <v>22</v>
      </c>
      <c r="C45" t="s">
        <v>22</v>
      </c>
    </row>
    <row r="46" spans="1:3" x14ac:dyDescent="0.35">
      <c r="A46" t="s">
        <v>101</v>
      </c>
      <c r="B46">
        <v>500</v>
      </c>
      <c r="C46" t="s">
        <v>22</v>
      </c>
    </row>
    <row r="47" spans="1:3" x14ac:dyDescent="0.35">
      <c r="A47" t="s">
        <v>102</v>
      </c>
      <c r="B47" s="2">
        <v>56045.599999999999</v>
      </c>
      <c r="C47" t="s">
        <v>22</v>
      </c>
    </row>
    <row r="48" spans="1:3" x14ac:dyDescent="0.35">
      <c r="A48" t="s">
        <v>22</v>
      </c>
    </row>
    <row r="49" spans="1:2" x14ac:dyDescent="0.35">
      <c r="A49" t="s">
        <v>58</v>
      </c>
      <c r="B49" s="2"/>
    </row>
    <row r="50" spans="1:2" x14ac:dyDescent="0.35">
      <c r="A50" t="s">
        <v>22</v>
      </c>
      <c r="B50" s="2"/>
    </row>
    <row r="51" spans="1:2" x14ac:dyDescent="0.35">
      <c r="A51" t="s">
        <v>84</v>
      </c>
    </row>
  </sheetData>
  <pageMargins left="0.70866141732283472" right="0.70866141732283472" top="0.74803149606299213" bottom="0.74803149606299213" header="0.31496062992125984" footer="0.31496062992125984"/>
  <pageSetup paperSize="9" scale="5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3B7A-9EB5-4D9D-BD87-601AF2EC4ADA}">
  <sheetPr codeName="Sheet3">
    <tabColor theme="9" tint="0.79998168889431442"/>
  </sheetPr>
  <dimension ref="A2:L52"/>
  <sheetViews>
    <sheetView topLeftCell="A13" zoomScale="70" zoomScaleNormal="70" workbookViewId="0">
      <selection activeCell="E28" sqref="E28"/>
    </sheetView>
  </sheetViews>
  <sheetFormatPr defaultRowHeight="14.5" x14ac:dyDescent="0.35"/>
  <cols>
    <col min="1" max="1" width="30.81640625" customWidth="1"/>
    <col min="2" max="4" width="13.26953125" customWidth="1"/>
    <col min="5" max="5" width="20.26953125" customWidth="1"/>
    <col min="6" max="6" width="13.26953125" customWidth="1"/>
    <col min="9" max="9" width="14.7265625" customWidth="1"/>
  </cols>
  <sheetData>
    <row r="2" spans="1:12" x14ac:dyDescent="0.35">
      <c r="A2" t="s">
        <v>129</v>
      </c>
    </row>
    <row r="3" spans="1:12" x14ac:dyDescent="0.35">
      <c r="A3" t="s">
        <v>20</v>
      </c>
    </row>
    <row r="4" spans="1:12" x14ac:dyDescent="0.35">
      <c r="A4" s="3">
        <v>46054</v>
      </c>
    </row>
    <row r="5" spans="1:12" x14ac:dyDescent="0.35">
      <c r="A5" t="s">
        <v>59</v>
      </c>
    </row>
    <row r="6" spans="1:12" x14ac:dyDescent="0.35">
      <c r="A6" t="s">
        <v>22</v>
      </c>
    </row>
    <row r="7" spans="1:12" x14ac:dyDescent="0.35">
      <c r="A7" t="s">
        <v>23</v>
      </c>
      <c r="B7" t="s">
        <v>88</v>
      </c>
      <c r="C7" t="s">
        <v>30</v>
      </c>
      <c r="D7" t="s">
        <v>87</v>
      </c>
      <c r="E7" t="s">
        <v>94</v>
      </c>
      <c r="F7" t="s">
        <v>95</v>
      </c>
      <c r="G7" t="s">
        <v>60</v>
      </c>
      <c r="H7" t="s">
        <v>61</v>
      </c>
      <c r="I7" t="s">
        <v>62</v>
      </c>
      <c r="J7" t="s">
        <v>85</v>
      </c>
      <c r="K7" t="s">
        <v>96</v>
      </c>
      <c r="L7" t="s">
        <v>63</v>
      </c>
    </row>
    <row r="8" spans="1:12" x14ac:dyDescent="0.35">
      <c r="A8" t="s">
        <v>37</v>
      </c>
      <c r="B8">
        <v>0</v>
      </c>
      <c r="C8">
        <v>0</v>
      </c>
      <c r="D8">
        <v>0</v>
      </c>
      <c r="E8" s="2"/>
      <c r="F8" s="2">
        <v>0</v>
      </c>
      <c r="G8" s="2">
        <v>0</v>
      </c>
      <c r="H8">
        <v>0</v>
      </c>
      <c r="I8" s="2">
        <v>13059.6</v>
      </c>
      <c r="J8">
        <v>0</v>
      </c>
      <c r="K8">
        <v>0</v>
      </c>
      <c r="L8" s="2">
        <v>13059.6</v>
      </c>
    </row>
    <row r="9" spans="1:12" x14ac:dyDescent="0.35">
      <c r="A9" t="s">
        <v>120</v>
      </c>
      <c r="B9">
        <v>0</v>
      </c>
      <c r="C9">
        <v>0</v>
      </c>
      <c r="D9">
        <v>0</v>
      </c>
      <c r="F9" s="2">
        <v>0</v>
      </c>
      <c r="G9">
        <v>216.8</v>
      </c>
      <c r="H9">
        <v>354.15</v>
      </c>
      <c r="I9">
        <v>0</v>
      </c>
      <c r="J9">
        <v>0</v>
      </c>
      <c r="K9">
        <v>0</v>
      </c>
      <c r="L9">
        <v>570.95000000000005</v>
      </c>
    </row>
    <row r="10" spans="1:12" x14ac:dyDescent="0.35">
      <c r="A10" t="s">
        <v>122</v>
      </c>
      <c r="B10">
        <v>0</v>
      </c>
      <c r="C10">
        <v>0</v>
      </c>
      <c r="D10">
        <v>0</v>
      </c>
      <c r="F10">
        <v>0</v>
      </c>
      <c r="G10">
        <v>0</v>
      </c>
      <c r="H10">
        <v>0</v>
      </c>
      <c r="I10">
        <v>0</v>
      </c>
      <c r="J10">
        <v>0</v>
      </c>
      <c r="K10">
        <v>0</v>
      </c>
      <c r="L10">
        <v>0</v>
      </c>
    </row>
    <row r="11" spans="1:12" x14ac:dyDescent="0.35">
      <c r="A11" t="s">
        <v>124</v>
      </c>
      <c r="B11">
        <v>0</v>
      </c>
      <c r="C11">
        <v>0</v>
      </c>
      <c r="D11">
        <v>0</v>
      </c>
      <c r="F11">
        <v>0</v>
      </c>
      <c r="G11">
        <v>10.8</v>
      </c>
      <c r="H11">
        <v>23.67</v>
      </c>
      <c r="I11">
        <v>0</v>
      </c>
      <c r="J11">
        <v>0</v>
      </c>
      <c r="K11">
        <v>0</v>
      </c>
      <c r="L11">
        <v>34.47</v>
      </c>
    </row>
    <row r="12" spans="1:12" x14ac:dyDescent="0.35">
      <c r="A12" t="s">
        <v>126</v>
      </c>
      <c r="B12">
        <v>47.5</v>
      </c>
      <c r="C12">
        <v>0</v>
      </c>
      <c r="D12">
        <v>0</v>
      </c>
      <c r="F12">
        <v>0</v>
      </c>
      <c r="G12" s="2">
        <v>31.2</v>
      </c>
      <c r="H12">
        <v>319.32</v>
      </c>
      <c r="I12">
        <v>0</v>
      </c>
      <c r="J12">
        <v>0</v>
      </c>
      <c r="K12">
        <v>0</v>
      </c>
      <c r="L12" s="2">
        <v>398.02</v>
      </c>
    </row>
    <row r="13" spans="1:12" x14ac:dyDescent="0.35">
      <c r="A13" t="s">
        <v>38</v>
      </c>
      <c r="B13" s="2">
        <v>47.5</v>
      </c>
      <c r="C13">
        <v>0</v>
      </c>
      <c r="D13">
        <v>0</v>
      </c>
      <c r="E13" s="2">
        <v>0</v>
      </c>
      <c r="F13" s="2">
        <v>0</v>
      </c>
      <c r="G13" s="2">
        <v>258.8</v>
      </c>
      <c r="H13">
        <v>697.14</v>
      </c>
      <c r="I13" s="2">
        <v>13059.6</v>
      </c>
      <c r="J13">
        <v>0</v>
      </c>
      <c r="K13">
        <v>0</v>
      </c>
      <c r="L13" s="2">
        <v>14063.04</v>
      </c>
    </row>
    <row r="14" spans="1:12" x14ac:dyDescent="0.35">
      <c r="A14" t="s">
        <v>22</v>
      </c>
    </row>
    <row r="15" spans="1:12" x14ac:dyDescent="0.35">
      <c r="A15" t="s">
        <v>82</v>
      </c>
    </row>
    <row r="16" spans="1:12" x14ac:dyDescent="0.35">
      <c r="A16" t="s">
        <v>128</v>
      </c>
    </row>
    <row r="17" spans="1:3" x14ac:dyDescent="0.35">
      <c r="A17" t="s">
        <v>22</v>
      </c>
      <c r="B17" s="2"/>
    </row>
    <row r="18" spans="1:3" x14ac:dyDescent="0.35">
      <c r="A18" t="s">
        <v>39</v>
      </c>
    </row>
    <row r="19" spans="1:3" x14ac:dyDescent="0.35">
      <c r="B19" t="s">
        <v>40</v>
      </c>
      <c r="C19" t="s">
        <v>22</v>
      </c>
    </row>
    <row r="20" spans="1:3" x14ac:dyDescent="0.35">
      <c r="A20" t="s">
        <v>41</v>
      </c>
      <c r="B20" s="2">
        <v>45219.74</v>
      </c>
      <c r="C20" t="s">
        <v>22</v>
      </c>
    </row>
    <row r="21" spans="1:3" x14ac:dyDescent="0.35">
      <c r="A21" t="s">
        <v>22</v>
      </c>
      <c r="B21" t="s">
        <v>22</v>
      </c>
      <c r="C21" t="s">
        <v>22</v>
      </c>
    </row>
    <row r="22" spans="1:3" x14ac:dyDescent="0.35">
      <c r="A22" t="s">
        <v>42</v>
      </c>
      <c r="C22" t="s">
        <v>22</v>
      </c>
    </row>
    <row r="23" spans="1:3" x14ac:dyDescent="0.35">
      <c r="A23" t="s">
        <v>43</v>
      </c>
      <c r="B23" s="2">
        <v>3376.4</v>
      </c>
      <c r="C23" t="s">
        <v>22</v>
      </c>
    </row>
    <row r="24" spans="1:3" x14ac:dyDescent="0.35">
      <c r="A24" t="s">
        <v>44</v>
      </c>
      <c r="B24">
        <v>21</v>
      </c>
      <c r="C24" t="s">
        <v>22</v>
      </c>
    </row>
    <row r="25" spans="1:3" x14ac:dyDescent="0.35">
      <c r="A25" t="s">
        <v>45</v>
      </c>
      <c r="B25" s="2">
        <v>3397.4</v>
      </c>
      <c r="C25" t="s">
        <v>22</v>
      </c>
    </row>
    <row r="26" spans="1:3" x14ac:dyDescent="0.35">
      <c r="A26" t="s">
        <v>22</v>
      </c>
      <c r="B26" s="2" t="s">
        <v>22</v>
      </c>
      <c r="C26" t="s">
        <v>22</v>
      </c>
    </row>
    <row r="27" spans="1:3" x14ac:dyDescent="0.35">
      <c r="A27" t="s">
        <v>46</v>
      </c>
      <c r="B27" s="2"/>
      <c r="C27" t="s">
        <v>22</v>
      </c>
    </row>
    <row r="28" spans="1:3" x14ac:dyDescent="0.35">
      <c r="A28" t="s">
        <v>47</v>
      </c>
      <c r="B28" s="2">
        <v>1124.73</v>
      </c>
      <c r="C28" t="s">
        <v>22</v>
      </c>
    </row>
    <row r="29" spans="1:3" x14ac:dyDescent="0.35">
      <c r="A29" t="s">
        <v>48</v>
      </c>
      <c r="B29" s="2">
        <v>4133.49</v>
      </c>
      <c r="C29" t="s">
        <v>22</v>
      </c>
    </row>
    <row r="30" spans="1:3" x14ac:dyDescent="0.35">
      <c r="A30" t="s">
        <v>50</v>
      </c>
      <c r="B30" s="2">
        <v>5258.22</v>
      </c>
      <c r="C30" t="s">
        <v>22</v>
      </c>
    </row>
    <row r="31" spans="1:3" x14ac:dyDescent="0.35">
      <c r="A31" t="s">
        <v>22</v>
      </c>
      <c r="B31" s="2" t="s">
        <v>22</v>
      </c>
      <c r="C31" t="s">
        <v>22</v>
      </c>
    </row>
    <row r="32" spans="1:3" x14ac:dyDescent="0.35">
      <c r="A32" t="s">
        <v>51</v>
      </c>
      <c r="B32" s="2">
        <v>8655.6200000000008</v>
      </c>
      <c r="C32" t="s">
        <v>22</v>
      </c>
    </row>
    <row r="33" spans="1:3" x14ac:dyDescent="0.35">
      <c r="A33" t="s">
        <v>22</v>
      </c>
      <c r="B33" s="2" t="s">
        <v>22</v>
      </c>
      <c r="C33" t="s">
        <v>22</v>
      </c>
    </row>
    <row r="34" spans="1:3" x14ac:dyDescent="0.35">
      <c r="A34" t="s">
        <v>52</v>
      </c>
      <c r="B34" s="2"/>
      <c r="C34" t="s">
        <v>22</v>
      </c>
    </row>
    <row r="35" spans="1:3" x14ac:dyDescent="0.35">
      <c r="A35" t="s">
        <v>98</v>
      </c>
      <c r="B35" s="2">
        <v>8655.6200000000008</v>
      </c>
      <c r="C35" t="s">
        <v>22</v>
      </c>
    </row>
    <row r="36" spans="1:3" x14ac:dyDescent="0.35">
      <c r="A36" t="s">
        <v>99</v>
      </c>
      <c r="B36" s="2">
        <v>8655.6200000000008</v>
      </c>
      <c r="C36" t="s">
        <v>22</v>
      </c>
    </row>
    <row r="37" spans="1:3" x14ac:dyDescent="0.35">
      <c r="A37" t="s">
        <v>100</v>
      </c>
      <c r="B37" s="2">
        <v>0</v>
      </c>
      <c r="C37" t="s">
        <v>22</v>
      </c>
    </row>
    <row r="38" spans="1:3" x14ac:dyDescent="0.35">
      <c r="A38" t="s">
        <v>22</v>
      </c>
      <c r="B38" s="2" t="s">
        <v>22</v>
      </c>
      <c r="C38" t="s">
        <v>22</v>
      </c>
    </row>
    <row r="39" spans="1:3" x14ac:dyDescent="0.35">
      <c r="A39" t="s">
        <v>53</v>
      </c>
      <c r="B39" s="2"/>
      <c r="C39" t="s">
        <v>22</v>
      </c>
    </row>
    <row r="40" spans="1:3" x14ac:dyDescent="0.35">
      <c r="A40" t="s">
        <v>54</v>
      </c>
      <c r="B40" s="2">
        <v>954.4</v>
      </c>
      <c r="C40" t="s">
        <v>22</v>
      </c>
    </row>
    <row r="41" spans="1:3" x14ac:dyDescent="0.35">
      <c r="A41" t="s">
        <v>55</v>
      </c>
      <c r="B41" s="2">
        <v>715.84</v>
      </c>
      <c r="C41" t="s">
        <v>22</v>
      </c>
    </row>
    <row r="42" spans="1:3" x14ac:dyDescent="0.35">
      <c r="A42" t="s">
        <v>56</v>
      </c>
      <c r="B42" s="2">
        <v>1670.24</v>
      </c>
      <c r="C42" t="s">
        <v>22</v>
      </c>
    </row>
    <row r="43" spans="1:3" x14ac:dyDescent="0.35">
      <c r="A43" t="s">
        <v>22</v>
      </c>
      <c r="B43" s="2" t="s">
        <v>22</v>
      </c>
      <c r="C43" t="s">
        <v>22</v>
      </c>
    </row>
    <row r="44" spans="1:3" x14ac:dyDescent="0.35">
      <c r="A44" t="s">
        <v>57</v>
      </c>
      <c r="B44" s="2">
        <v>55545.599999999999</v>
      </c>
      <c r="C44" t="s">
        <v>22</v>
      </c>
    </row>
    <row r="45" spans="1:3" x14ac:dyDescent="0.35">
      <c r="A45" t="s">
        <v>22</v>
      </c>
      <c r="B45" s="2" t="s">
        <v>22</v>
      </c>
      <c r="C45" t="s">
        <v>22</v>
      </c>
    </row>
    <row r="46" spans="1:3" x14ac:dyDescent="0.35">
      <c r="A46" t="s">
        <v>101</v>
      </c>
      <c r="B46">
        <v>500</v>
      </c>
      <c r="C46" t="s">
        <v>22</v>
      </c>
    </row>
    <row r="47" spans="1:3" x14ac:dyDescent="0.35">
      <c r="A47" t="s">
        <v>102</v>
      </c>
      <c r="B47" s="2">
        <v>56045.599999999999</v>
      </c>
      <c r="C47" t="s">
        <v>22</v>
      </c>
    </row>
    <row r="48" spans="1:3" x14ac:dyDescent="0.35">
      <c r="A48" t="s">
        <v>22</v>
      </c>
    </row>
    <row r="49" spans="1:2" x14ac:dyDescent="0.35">
      <c r="A49" t="s">
        <v>58</v>
      </c>
      <c r="B49" s="2"/>
    </row>
    <row r="50" spans="1:2" x14ac:dyDescent="0.35">
      <c r="A50" t="s">
        <v>22</v>
      </c>
      <c r="B50" s="2"/>
    </row>
    <row r="51" spans="1:2" x14ac:dyDescent="0.35">
      <c r="A51" t="s">
        <v>84</v>
      </c>
    </row>
    <row r="52" spans="1:2" x14ac:dyDescent="0.35">
      <c r="A52" t="s">
        <v>84</v>
      </c>
      <c r="B52"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03A8-2EF6-4390-8EB9-E44CCF0CCC4A}">
  <sheetPr codeName="Sheet4">
    <tabColor theme="9" tint="0.79998168889431442"/>
  </sheetPr>
  <dimension ref="A2:G52"/>
  <sheetViews>
    <sheetView topLeftCell="A25" workbookViewId="0">
      <selection activeCell="F30" sqref="F30"/>
    </sheetView>
  </sheetViews>
  <sheetFormatPr defaultRowHeight="14.5" x14ac:dyDescent="0.35"/>
  <cols>
    <col min="1" max="1" width="20.81640625" customWidth="1"/>
    <col min="2" max="7" width="14.81640625" customWidth="1"/>
    <col min="8" max="8" width="12.1796875" customWidth="1"/>
  </cols>
  <sheetData>
    <row r="2" spans="1:7" x14ac:dyDescent="0.35">
      <c r="A2" t="s">
        <v>129</v>
      </c>
    </row>
    <row r="3" spans="1:7" x14ac:dyDescent="0.35">
      <c r="A3" t="s">
        <v>20</v>
      </c>
    </row>
    <row r="4" spans="1:7" x14ac:dyDescent="0.35">
      <c r="A4" s="3">
        <v>46054</v>
      </c>
    </row>
    <row r="5" spans="1:7" x14ac:dyDescent="0.35">
      <c r="A5" t="s">
        <v>64</v>
      </c>
    </row>
    <row r="6" spans="1:7" x14ac:dyDescent="0.35">
      <c r="A6" t="s">
        <v>22</v>
      </c>
    </row>
    <row r="7" spans="1:7" x14ac:dyDescent="0.35">
      <c r="A7" t="s">
        <v>23</v>
      </c>
      <c r="B7" t="s">
        <v>31</v>
      </c>
      <c r="C7" t="s">
        <v>65</v>
      </c>
      <c r="D7" t="s">
        <v>66</v>
      </c>
      <c r="E7" t="s">
        <v>67</v>
      </c>
      <c r="F7" t="s">
        <v>68</v>
      </c>
      <c r="G7" t="s">
        <v>69</v>
      </c>
    </row>
    <row r="8" spans="1:7" x14ac:dyDescent="0.35">
      <c r="A8" t="s">
        <v>37</v>
      </c>
      <c r="B8">
        <v>0</v>
      </c>
      <c r="C8">
        <v>0</v>
      </c>
      <c r="D8">
        <v>0</v>
      </c>
      <c r="E8">
        <v>0</v>
      </c>
      <c r="F8">
        <v>0</v>
      </c>
      <c r="G8">
        <v>0</v>
      </c>
    </row>
    <row r="9" spans="1:7" x14ac:dyDescent="0.35">
      <c r="A9" t="s">
        <v>120</v>
      </c>
      <c r="B9">
        <v>289.51</v>
      </c>
      <c r="C9">
        <v>217.15</v>
      </c>
      <c r="D9">
        <v>506.66</v>
      </c>
      <c r="E9">
        <v>289.51</v>
      </c>
      <c r="F9">
        <v>217.15</v>
      </c>
      <c r="G9">
        <v>506.66</v>
      </c>
    </row>
    <row r="10" spans="1:7" x14ac:dyDescent="0.35">
      <c r="A10" t="s">
        <v>122</v>
      </c>
      <c r="B10">
        <v>191.87</v>
      </c>
      <c r="C10">
        <v>143.91</v>
      </c>
      <c r="D10">
        <v>335.78</v>
      </c>
      <c r="E10">
        <v>191.87</v>
      </c>
      <c r="F10">
        <v>143.91</v>
      </c>
      <c r="G10">
        <v>335.78</v>
      </c>
    </row>
    <row r="11" spans="1:7" x14ac:dyDescent="0.35">
      <c r="A11" t="s">
        <v>124</v>
      </c>
      <c r="B11">
        <v>221.44</v>
      </c>
      <c r="C11">
        <v>166.08</v>
      </c>
      <c r="D11">
        <v>387.52</v>
      </c>
      <c r="E11">
        <v>221.44</v>
      </c>
      <c r="F11">
        <v>166.08</v>
      </c>
      <c r="G11">
        <v>387.52</v>
      </c>
    </row>
    <row r="12" spans="1:7" x14ac:dyDescent="0.35">
      <c r="A12" t="s">
        <v>126</v>
      </c>
      <c r="B12">
        <v>251.58</v>
      </c>
      <c r="C12">
        <v>188.7</v>
      </c>
      <c r="D12">
        <v>440.28</v>
      </c>
      <c r="E12">
        <v>251.58</v>
      </c>
      <c r="F12">
        <v>188.7</v>
      </c>
      <c r="G12">
        <v>440.28</v>
      </c>
    </row>
    <row r="13" spans="1:7" x14ac:dyDescent="0.35">
      <c r="A13" t="s">
        <v>38</v>
      </c>
      <c r="B13">
        <v>954.4</v>
      </c>
      <c r="C13">
        <v>715.84</v>
      </c>
      <c r="D13" s="2">
        <v>1670.24</v>
      </c>
      <c r="E13">
        <v>954.4</v>
      </c>
      <c r="F13">
        <v>715.84</v>
      </c>
      <c r="G13" s="2">
        <v>1670.24</v>
      </c>
    </row>
    <row r="14" spans="1:7" x14ac:dyDescent="0.35">
      <c r="A14" t="s">
        <v>22</v>
      </c>
    </row>
    <row r="15" spans="1:7" x14ac:dyDescent="0.35">
      <c r="A15" t="s">
        <v>82</v>
      </c>
    </row>
    <row r="16" spans="1:7" x14ac:dyDescent="0.35">
      <c r="A16" t="s">
        <v>128</v>
      </c>
    </row>
    <row r="17" spans="1:3" x14ac:dyDescent="0.35">
      <c r="A17" t="s">
        <v>22</v>
      </c>
      <c r="B17" s="2"/>
    </row>
    <row r="18" spans="1:3" x14ac:dyDescent="0.35">
      <c r="A18" t="s">
        <v>39</v>
      </c>
    </row>
    <row r="19" spans="1:3" x14ac:dyDescent="0.35">
      <c r="B19" t="s">
        <v>40</v>
      </c>
      <c r="C19" t="s">
        <v>22</v>
      </c>
    </row>
    <row r="20" spans="1:3" x14ac:dyDescent="0.35">
      <c r="A20" t="s">
        <v>41</v>
      </c>
      <c r="B20" s="2">
        <v>45219.74</v>
      </c>
      <c r="C20" t="s">
        <v>22</v>
      </c>
    </row>
    <row r="21" spans="1:3" x14ac:dyDescent="0.35">
      <c r="A21" t="s">
        <v>22</v>
      </c>
      <c r="B21" t="s">
        <v>22</v>
      </c>
      <c r="C21" t="s">
        <v>22</v>
      </c>
    </row>
    <row r="22" spans="1:3" x14ac:dyDescent="0.35">
      <c r="A22" t="s">
        <v>42</v>
      </c>
      <c r="C22" t="s">
        <v>22</v>
      </c>
    </row>
    <row r="23" spans="1:3" x14ac:dyDescent="0.35">
      <c r="A23" t="s">
        <v>43</v>
      </c>
      <c r="B23" s="2">
        <v>3376.4</v>
      </c>
      <c r="C23" t="s">
        <v>22</v>
      </c>
    </row>
    <row r="24" spans="1:3" x14ac:dyDescent="0.35">
      <c r="A24" t="s">
        <v>44</v>
      </c>
      <c r="B24">
        <v>21</v>
      </c>
      <c r="C24" t="s">
        <v>22</v>
      </c>
    </row>
    <row r="25" spans="1:3" x14ac:dyDescent="0.35">
      <c r="A25" t="s">
        <v>45</v>
      </c>
      <c r="B25" s="2">
        <v>3397.4</v>
      </c>
      <c r="C25" t="s">
        <v>22</v>
      </c>
    </row>
    <row r="26" spans="1:3" x14ac:dyDescent="0.35">
      <c r="A26" t="s">
        <v>22</v>
      </c>
      <c r="B26" s="2" t="s">
        <v>22</v>
      </c>
      <c r="C26" t="s">
        <v>22</v>
      </c>
    </row>
    <row r="27" spans="1:3" x14ac:dyDescent="0.35">
      <c r="A27" t="s">
        <v>46</v>
      </c>
      <c r="B27" s="2"/>
      <c r="C27" t="s">
        <v>22</v>
      </c>
    </row>
    <row r="28" spans="1:3" x14ac:dyDescent="0.35">
      <c r="A28" t="s">
        <v>47</v>
      </c>
      <c r="B28" s="2">
        <v>1124.73</v>
      </c>
      <c r="C28" t="s">
        <v>22</v>
      </c>
    </row>
    <row r="29" spans="1:3" x14ac:dyDescent="0.35">
      <c r="A29" t="s">
        <v>48</v>
      </c>
      <c r="B29" s="2">
        <v>4133.49</v>
      </c>
      <c r="C29" t="s">
        <v>22</v>
      </c>
    </row>
    <row r="30" spans="1:3" x14ac:dyDescent="0.35">
      <c r="A30" t="s">
        <v>50</v>
      </c>
      <c r="B30" s="2">
        <v>5258.22</v>
      </c>
      <c r="C30" t="s">
        <v>22</v>
      </c>
    </row>
    <row r="31" spans="1:3" x14ac:dyDescent="0.35">
      <c r="A31" t="s">
        <v>22</v>
      </c>
      <c r="B31" s="2" t="s">
        <v>22</v>
      </c>
      <c r="C31" t="s">
        <v>22</v>
      </c>
    </row>
    <row r="32" spans="1:3" x14ac:dyDescent="0.35">
      <c r="A32" t="s">
        <v>51</v>
      </c>
      <c r="B32" s="2">
        <v>8655.6200000000008</v>
      </c>
      <c r="C32" t="s">
        <v>22</v>
      </c>
    </row>
    <row r="33" spans="1:3" x14ac:dyDescent="0.35">
      <c r="A33" t="s">
        <v>22</v>
      </c>
      <c r="B33" s="2" t="s">
        <v>22</v>
      </c>
      <c r="C33" t="s">
        <v>22</v>
      </c>
    </row>
    <row r="34" spans="1:3" x14ac:dyDescent="0.35">
      <c r="A34" t="s">
        <v>52</v>
      </c>
      <c r="B34" s="2"/>
      <c r="C34" t="s">
        <v>22</v>
      </c>
    </row>
    <row r="35" spans="1:3" x14ac:dyDescent="0.35">
      <c r="A35" t="s">
        <v>98</v>
      </c>
      <c r="B35" s="2">
        <v>8655.6200000000008</v>
      </c>
      <c r="C35" t="s">
        <v>22</v>
      </c>
    </row>
    <row r="36" spans="1:3" x14ac:dyDescent="0.35">
      <c r="A36" t="s">
        <v>99</v>
      </c>
      <c r="B36" s="2">
        <v>8655.6200000000008</v>
      </c>
      <c r="C36" t="s">
        <v>22</v>
      </c>
    </row>
    <row r="37" spans="1:3" x14ac:dyDescent="0.35">
      <c r="A37" t="s">
        <v>100</v>
      </c>
      <c r="B37" s="2">
        <v>0</v>
      </c>
      <c r="C37" t="s">
        <v>22</v>
      </c>
    </row>
    <row r="38" spans="1:3" x14ac:dyDescent="0.35">
      <c r="A38" t="s">
        <v>22</v>
      </c>
      <c r="B38" s="2" t="s">
        <v>22</v>
      </c>
      <c r="C38" t="s">
        <v>22</v>
      </c>
    </row>
    <row r="39" spans="1:3" x14ac:dyDescent="0.35">
      <c r="A39" t="s">
        <v>53</v>
      </c>
      <c r="B39" s="2"/>
      <c r="C39" t="s">
        <v>22</v>
      </c>
    </row>
    <row r="40" spans="1:3" x14ac:dyDescent="0.35">
      <c r="A40" t="s">
        <v>54</v>
      </c>
      <c r="B40" s="2">
        <v>954.4</v>
      </c>
      <c r="C40" t="s">
        <v>22</v>
      </c>
    </row>
    <row r="41" spans="1:3" x14ac:dyDescent="0.35">
      <c r="A41" t="s">
        <v>55</v>
      </c>
      <c r="B41" s="2">
        <v>715.84</v>
      </c>
      <c r="C41" t="s">
        <v>22</v>
      </c>
    </row>
    <row r="42" spans="1:3" x14ac:dyDescent="0.35">
      <c r="A42" t="s">
        <v>56</v>
      </c>
      <c r="B42" s="2">
        <v>1670.24</v>
      </c>
      <c r="C42" t="s">
        <v>22</v>
      </c>
    </row>
    <row r="43" spans="1:3" x14ac:dyDescent="0.35">
      <c r="A43" t="s">
        <v>22</v>
      </c>
      <c r="B43" s="2" t="s">
        <v>22</v>
      </c>
      <c r="C43" t="s">
        <v>22</v>
      </c>
    </row>
    <row r="44" spans="1:3" x14ac:dyDescent="0.35">
      <c r="A44" t="s">
        <v>57</v>
      </c>
      <c r="B44" s="2">
        <v>55545.599999999999</v>
      </c>
      <c r="C44" t="s">
        <v>22</v>
      </c>
    </row>
    <row r="45" spans="1:3" x14ac:dyDescent="0.35">
      <c r="A45" t="s">
        <v>22</v>
      </c>
      <c r="B45" s="2" t="s">
        <v>22</v>
      </c>
      <c r="C45" t="s">
        <v>22</v>
      </c>
    </row>
    <row r="46" spans="1:3" x14ac:dyDescent="0.35">
      <c r="A46" t="s">
        <v>101</v>
      </c>
      <c r="B46">
        <v>500</v>
      </c>
      <c r="C46" t="s">
        <v>22</v>
      </c>
    </row>
    <row r="47" spans="1:3" x14ac:dyDescent="0.35">
      <c r="A47" t="s">
        <v>102</v>
      </c>
      <c r="B47" s="2">
        <v>56045.599999999999</v>
      </c>
      <c r="C47" t="s">
        <v>22</v>
      </c>
    </row>
    <row r="48" spans="1:3" x14ac:dyDescent="0.35">
      <c r="A48" t="s">
        <v>22</v>
      </c>
    </row>
    <row r="49" spans="1:2" x14ac:dyDescent="0.35">
      <c r="A49" t="s">
        <v>58</v>
      </c>
      <c r="B49" s="2"/>
    </row>
    <row r="50" spans="1:2" x14ac:dyDescent="0.35">
      <c r="A50" t="s">
        <v>22</v>
      </c>
      <c r="B50" s="2"/>
    </row>
    <row r="51" spans="1:2" x14ac:dyDescent="0.35">
      <c r="A51" t="s">
        <v>86</v>
      </c>
    </row>
    <row r="52" spans="1:2" x14ac:dyDescent="0.35">
      <c r="A52" t="s">
        <v>86</v>
      </c>
      <c r="B5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C2393-6F4A-4536-8D01-2C0AB73D5439}">
  <sheetPr codeName="Sheet5">
    <tabColor theme="9" tint="0.79998168889431442"/>
  </sheetPr>
  <dimension ref="A2:J53"/>
  <sheetViews>
    <sheetView workbookViewId="0">
      <selection activeCell="A51" sqref="A51"/>
    </sheetView>
  </sheetViews>
  <sheetFormatPr defaultRowHeight="14.5" x14ac:dyDescent="0.35"/>
  <cols>
    <col min="1" max="1" width="28.453125" customWidth="1"/>
  </cols>
  <sheetData>
    <row r="2" spans="1:10" x14ac:dyDescent="0.35">
      <c r="A2" t="s">
        <v>129</v>
      </c>
    </row>
    <row r="3" spans="1:10" x14ac:dyDescent="0.35">
      <c r="A3" t="s">
        <v>20</v>
      </c>
    </row>
    <row r="4" spans="1:10" x14ac:dyDescent="0.35">
      <c r="A4" s="3">
        <v>46054</v>
      </c>
    </row>
    <row r="5" spans="1:10" x14ac:dyDescent="0.35">
      <c r="A5" t="s">
        <v>70</v>
      </c>
    </row>
    <row r="6" spans="1:10" x14ac:dyDescent="0.35">
      <c r="A6" t="s">
        <v>22</v>
      </c>
    </row>
    <row r="7" spans="1:10" x14ac:dyDescent="0.35">
      <c r="A7" t="s">
        <v>23</v>
      </c>
      <c r="B7" t="s">
        <v>24</v>
      </c>
      <c r="C7" t="s">
        <v>71</v>
      </c>
      <c r="D7" t="s">
        <v>25</v>
      </c>
      <c r="E7" t="s">
        <v>63</v>
      </c>
      <c r="F7" t="s">
        <v>72</v>
      </c>
      <c r="G7" t="s">
        <v>35</v>
      </c>
      <c r="H7" t="s">
        <v>34</v>
      </c>
      <c r="I7" t="s">
        <v>36</v>
      </c>
      <c r="J7" t="s">
        <v>73</v>
      </c>
    </row>
    <row r="8" spans="1:10" x14ac:dyDescent="0.35">
      <c r="A8" t="s">
        <v>37</v>
      </c>
      <c r="B8" t="s">
        <v>22</v>
      </c>
      <c r="C8" t="s">
        <v>22</v>
      </c>
      <c r="D8" s="2">
        <v>15111.4</v>
      </c>
      <c r="E8" s="2">
        <v>13059.6</v>
      </c>
      <c r="F8">
        <v>0</v>
      </c>
      <c r="G8">
        <v>111.4</v>
      </c>
      <c r="H8">
        <v>0</v>
      </c>
      <c r="I8" s="2">
        <v>15000</v>
      </c>
      <c r="J8">
        <v>182.66</v>
      </c>
    </row>
    <row r="9" spans="1:10" x14ac:dyDescent="0.35">
      <c r="A9" t="s">
        <v>120</v>
      </c>
      <c r="B9" t="s">
        <v>22</v>
      </c>
      <c r="C9" t="s">
        <v>22</v>
      </c>
      <c r="D9" s="2">
        <v>11349.55</v>
      </c>
      <c r="E9" s="2">
        <v>570.95000000000005</v>
      </c>
      <c r="F9">
        <v>289.51</v>
      </c>
      <c r="G9" s="2">
        <v>1388.2</v>
      </c>
      <c r="H9">
        <v>386.48</v>
      </c>
      <c r="I9" s="2">
        <v>9285.36</v>
      </c>
      <c r="J9" s="2">
        <v>1241.49</v>
      </c>
    </row>
    <row r="10" spans="1:10" x14ac:dyDescent="0.35">
      <c r="A10" t="s">
        <v>122</v>
      </c>
      <c r="B10" t="s">
        <v>22</v>
      </c>
      <c r="C10" t="s">
        <v>22</v>
      </c>
      <c r="D10" s="2">
        <v>6876.24</v>
      </c>
      <c r="E10">
        <v>0</v>
      </c>
      <c r="F10">
        <v>191.87</v>
      </c>
      <c r="G10">
        <v>559</v>
      </c>
      <c r="H10">
        <v>214.73</v>
      </c>
      <c r="I10" s="2">
        <v>5910.64</v>
      </c>
      <c r="J10">
        <v>781.24</v>
      </c>
    </row>
    <row r="11" spans="1:10" x14ac:dyDescent="0.35">
      <c r="A11" t="s">
        <v>124</v>
      </c>
      <c r="B11" t="s">
        <v>22</v>
      </c>
      <c r="C11" t="s">
        <v>22</v>
      </c>
      <c r="D11" s="2">
        <v>8169.57</v>
      </c>
      <c r="E11">
        <v>34.47</v>
      </c>
      <c r="F11">
        <v>271.44</v>
      </c>
      <c r="G11">
        <v>644.79999999999995</v>
      </c>
      <c r="H11">
        <v>231.61</v>
      </c>
      <c r="I11" s="2">
        <v>7021.72</v>
      </c>
      <c r="J11">
        <v>907.51</v>
      </c>
    </row>
    <row r="12" spans="1:10" x14ac:dyDescent="0.35">
      <c r="A12" t="s">
        <v>126</v>
      </c>
      <c r="B12" t="s">
        <v>22</v>
      </c>
      <c r="C12" t="s">
        <v>22</v>
      </c>
      <c r="D12" s="2">
        <v>9239.51</v>
      </c>
      <c r="E12" s="2">
        <v>398.02</v>
      </c>
      <c r="F12">
        <v>272.58</v>
      </c>
      <c r="G12">
        <v>673</v>
      </c>
      <c r="H12">
        <v>291.91000000000003</v>
      </c>
      <c r="I12" s="2">
        <v>8002.02</v>
      </c>
      <c r="J12" s="2">
        <v>1020.59</v>
      </c>
    </row>
    <row r="13" spans="1:10" x14ac:dyDescent="0.35">
      <c r="A13" t="s">
        <v>38</v>
      </c>
      <c r="B13" t="s">
        <v>22</v>
      </c>
      <c r="C13" t="s">
        <v>22</v>
      </c>
      <c r="D13" s="2">
        <v>50746.27</v>
      </c>
      <c r="E13" s="2">
        <v>14063.04</v>
      </c>
      <c r="F13" s="2">
        <v>1025.4000000000001</v>
      </c>
      <c r="G13" s="2">
        <v>3376.4</v>
      </c>
      <c r="H13" s="2">
        <v>1124.73</v>
      </c>
      <c r="I13" s="2">
        <v>45219.74</v>
      </c>
      <c r="J13" s="2">
        <v>4133.49</v>
      </c>
    </row>
    <row r="14" spans="1:10" x14ac:dyDescent="0.35">
      <c r="A14" t="s">
        <v>22</v>
      </c>
    </row>
    <row r="15" spans="1:10" x14ac:dyDescent="0.35">
      <c r="A15" t="s">
        <v>82</v>
      </c>
    </row>
    <row r="16" spans="1:10" x14ac:dyDescent="0.35">
      <c r="A16" t="s">
        <v>128</v>
      </c>
    </row>
    <row r="17" spans="1:3" x14ac:dyDescent="0.35">
      <c r="A17" t="s">
        <v>22</v>
      </c>
      <c r="B17" s="2"/>
    </row>
    <row r="18" spans="1:3" x14ac:dyDescent="0.35">
      <c r="A18" t="s">
        <v>39</v>
      </c>
    </row>
    <row r="19" spans="1:3" x14ac:dyDescent="0.35">
      <c r="B19" t="s">
        <v>40</v>
      </c>
      <c r="C19" t="s">
        <v>22</v>
      </c>
    </row>
    <row r="20" spans="1:3" x14ac:dyDescent="0.35">
      <c r="A20" t="s">
        <v>41</v>
      </c>
      <c r="B20" s="2">
        <v>45219.74</v>
      </c>
      <c r="C20" t="s">
        <v>22</v>
      </c>
    </row>
    <row r="21" spans="1:3" x14ac:dyDescent="0.35">
      <c r="A21" t="s">
        <v>22</v>
      </c>
      <c r="B21" t="s">
        <v>22</v>
      </c>
      <c r="C21" t="s">
        <v>22</v>
      </c>
    </row>
    <row r="22" spans="1:3" x14ac:dyDescent="0.35">
      <c r="A22" t="s">
        <v>42</v>
      </c>
      <c r="C22" t="s">
        <v>22</v>
      </c>
    </row>
    <row r="23" spans="1:3" x14ac:dyDescent="0.35">
      <c r="A23" t="s">
        <v>43</v>
      </c>
      <c r="B23" s="2">
        <v>3376.4</v>
      </c>
      <c r="C23" t="s">
        <v>22</v>
      </c>
    </row>
    <row r="24" spans="1:3" x14ac:dyDescent="0.35">
      <c r="A24" t="s">
        <v>44</v>
      </c>
      <c r="B24">
        <v>21</v>
      </c>
      <c r="C24" t="s">
        <v>22</v>
      </c>
    </row>
    <row r="25" spans="1:3" x14ac:dyDescent="0.35">
      <c r="A25" t="s">
        <v>45</v>
      </c>
      <c r="B25" s="2">
        <v>3397.4</v>
      </c>
      <c r="C25" t="s">
        <v>22</v>
      </c>
    </row>
    <row r="26" spans="1:3" x14ac:dyDescent="0.35">
      <c r="A26" t="s">
        <v>22</v>
      </c>
      <c r="B26" s="2" t="s">
        <v>22</v>
      </c>
      <c r="C26" t="s">
        <v>22</v>
      </c>
    </row>
    <row r="27" spans="1:3" x14ac:dyDescent="0.35">
      <c r="A27" t="s">
        <v>46</v>
      </c>
      <c r="B27" s="2"/>
      <c r="C27" t="s">
        <v>22</v>
      </c>
    </row>
    <row r="28" spans="1:3" x14ac:dyDescent="0.35">
      <c r="A28" t="s">
        <v>47</v>
      </c>
      <c r="B28" s="2">
        <v>1124.73</v>
      </c>
      <c r="C28" t="s">
        <v>22</v>
      </c>
    </row>
    <row r="29" spans="1:3" x14ac:dyDescent="0.35">
      <c r="A29" t="s">
        <v>48</v>
      </c>
      <c r="B29" s="2">
        <v>4133.49</v>
      </c>
      <c r="C29" t="s">
        <v>22</v>
      </c>
    </row>
    <row r="30" spans="1:3" x14ac:dyDescent="0.35">
      <c r="A30" t="s">
        <v>50</v>
      </c>
      <c r="B30" s="2">
        <v>5258.22</v>
      </c>
      <c r="C30" t="s">
        <v>22</v>
      </c>
    </row>
    <row r="31" spans="1:3" x14ac:dyDescent="0.35">
      <c r="A31" t="s">
        <v>22</v>
      </c>
      <c r="B31" s="2" t="s">
        <v>22</v>
      </c>
      <c r="C31" t="s">
        <v>22</v>
      </c>
    </row>
    <row r="32" spans="1:3" x14ac:dyDescent="0.35">
      <c r="A32" t="s">
        <v>51</v>
      </c>
      <c r="B32" s="2">
        <v>8655.6200000000008</v>
      </c>
      <c r="C32" t="s">
        <v>22</v>
      </c>
    </row>
    <row r="33" spans="1:3" x14ac:dyDescent="0.35">
      <c r="A33" t="s">
        <v>22</v>
      </c>
      <c r="B33" s="2" t="s">
        <v>22</v>
      </c>
      <c r="C33" t="s">
        <v>22</v>
      </c>
    </row>
    <row r="34" spans="1:3" x14ac:dyDescent="0.35">
      <c r="A34" t="s">
        <v>52</v>
      </c>
      <c r="B34" s="2"/>
      <c r="C34" t="s">
        <v>22</v>
      </c>
    </row>
    <row r="35" spans="1:3" x14ac:dyDescent="0.35">
      <c r="A35" t="s">
        <v>98</v>
      </c>
      <c r="B35" s="2">
        <v>8655.6200000000008</v>
      </c>
      <c r="C35" t="s">
        <v>22</v>
      </c>
    </row>
    <row r="36" spans="1:3" x14ac:dyDescent="0.35">
      <c r="A36" t="s">
        <v>99</v>
      </c>
      <c r="B36" s="2">
        <v>8655.6200000000008</v>
      </c>
      <c r="C36" t="s">
        <v>22</v>
      </c>
    </row>
    <row r="37" spans="1:3" x14ac:dyDescent="0.35">
      <c r="A37" t="s">
        <v>100</v>
      </c>
      <c r="B37" s="2">
        <v>0</v>
      </c>
      <c r="C37" t="s">
        <v>22</v>
      </c>
    </row>
    <row r="38" spans="1:3" x14ac:dyDescent="0.35">
      <c r="A38" t="s">
        <v>22</v>
      </c>
      <c r="B38" s="2" t="s">
        <v>22</v>
      </c>
      <c r="C38" t="s">
        <v>22</v>
      </c>
    </row>
    <row r="39" spans="1:3" x14ac:dyDescent="0.35">
      <c r="A39" t="s">
        <v>53</v>
      </c>
      <c r="B39" s="2"/>
      <c r="C39" t="s">
        <v>22</v>
      </c>
    </row>
    <row r="40" spans="1:3" x14ac:dyDescent="0.35">
      <c r="A40" t="s">
        <v>54</v>
      </c>
      <c r="B40" s="2">
        <v>954.4</v>
      </c>
      <c r="C40" t="s">
        <v>22</v>
      </c>
    </row>
    <row r="41" spans="1:3" x14ac:dyDescent="0.35">
      <c r="A41" t="s">
        <v>55</v>
      </c>
      <c r="B41" s="2">
        <v>715.84</v>
      </c>
      <c r="C41" t="s">
        <v>22</v>
      </c>
    </row>
    <row r="42" spans="1:3" x14ac:dyDescent="0.35">
      <c r="A42" t="s">
        <v>56</v>
      </c>
      <c r="B42" s="2">
        <v>1670.24</v>
      </c>
      <c r="C42" t="s">
        <v>22</v>
      </c>
    </row>
    <row r="43" spans="1:3" x14ac:dyDescent="0.35">
      <c r="A43" t="s">
        <v>22</v>
      </c>
      <c r="B43" s="2" t="s">
        <v>22</v>
      </c>
      <c r="C43" t="s">
        <v>22</v>
      </c>
    </row>
    <row r="44" spans="1:3" x14ac:dyDescent="0.35">
      <c r="A44" t="s">
        <v>57</v>
      </c>
      <c r="B44" s="2">
        <v>55545.599999999999</v>
      </c>
      <c r="C44" t="s">
        <v>22</v>
      </c>
    </row>
    <row r="45" spans="1:3" x14ac:dyDescent="0.35">
      <c r="A45" t="s">
        <v>22</v>
      </c>
      <c r="B45" s="2" t="s">
        <v>22</v>
      </c>
      <c r="C45" t="s">
        <v>22</v>
      </c>
    </row>
    <row r="46" spans="1:3" x14ac:dyDescent="0.35">
      <c r="A46" t="s">
        <v>101</v>
      </c>
      <c r="B46">
        <v>500</v>
      </c>
      <c r="C46" t="s">
        <v>22</v>
      </c>
    </row>
    <row r="47" spans="1:3" x14ac:dyDescent="0.35">
      <c r="A47" t="s">
        <v>102</v>
      </c>
      <c r="B47" s="2">
        <v>56045.599999999999</v>
      </c>
      <c r="C47" t="s">
        <v>22</v>
      </c>
    </row>
    <row r="48" spans="1:3" x14ac:dyDescent="0.35">
      <c r="A48" t="s">
        <v>22</v>
      </c>
    </row>
    <row r="49" spans="1:3" x14ac:dyDescent="0.35">
      <c r="A49" t="s">
        <v>58</v>
      </c>
      <c r="B49" s="2"/>
    </row>
    <row r="50" spans="1:3" x14ac:dyDescent="0.35">
      <c r="A50" t="s">
        <v>22</v>
      </c>
      <c r="B50" s="2"/>
    </row>
    <row r="51" spans="1:3" x14ac:dyDescent="0.35">
      <c r="A51" t="s">
        <v>86</v>
      </c>
    </row>
    <row r="52" spans="1:3" x14ac:dyDescent="0.35">
      <c r="B52" s="2"/>
    </row>
    <row r="53" spans="1:3" x14ac:dyDescent="0.35">
      <c r="A53" t="s">
        <v>22</v>
      </c>
      <c r="B53" t="s">
        <v>22</v>
      </c>
      <c r="C53" t="s">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C03F-2EC1-492E-B191-F77CB93A3D8F}">
  <sheetPr>
    <tabColor theme="9" tint="0.79998168889431442"/>
  </sheetPr>
  <dimension ref="A2:D51"/>
  <sheetViews>
    <sheetView workbookViewId="0">
      <selection activeCell="C14" sqref="C14"/>
    </sheetView>
  </sheetViews>
  <sheetFormatPr defaultRowHeight="14.5" x14ac:dyDescent="0.35"/>
  <cols>
    <col min="1" max="1" width="34" customWidth="1"/>
    <col min="2" max="4" width="15.81640625" customWidth="1"/>
  </cols>
  <sheetData>
    <row r="2" spans="1:4" x14ac:dyDescent="0.35">
      <c r="A2" t="s">
        <v>129</v>
      </c>
    </row>
    <row r="3" spans="1:4" x14ac:dyDescent="0.35">
      <c r="A3" t="s">
        <v>20</v>
      </c>
    </row>
    <row r="4" spans="1:4" x14ac:dyDescent="0.35">
      <c r="A4" s="3">
        <v>46054</v>
      </c>
    </row>
    <row r="5" spans="1:4" x14ac:dyDescent="0.35">
      <c r="A5" t="s">
        <v>112</v>
      </c>
    </row>
    <row r="6" spans="1:4" x14ac:dyDescent="0.35">
      <c r="A6" t="s">
        <v>22</v>
      </c>
    </row>
    <row r="7" spans="1:4" x14ac:dyDescent="0.35">
      <c r="A7" s="27" t="s">
        <v>113</v>
      </c>
      <c r="B7" s="27" t="s">
        <v>114</v>
      </c>
      <c r="C7" s="27" t="s">
        <v>115</v>
      </c>
      <c r="D7" s="27" t="s">
        <v>116</v>
      </c>
    </row>
    <row r="8" spans="1:4" x14ac:dyDescent="0.35">
      <c r="A8" s="27" t="s">
        <v>37</v>
      </c>
      <c r="B8" s="27">
        <v>0</v>
      </c>
      <c r="C8" s="27">
        <v>0</v>
      </c>
      <c r="D8" s="27" t="s">
        <v>22</v>
      </c>
    </row>
    <row r="9" spans="1:4" x14ac:dyDescent="0.35">
      <c r="A9" s="27" t="s">
        <v>120</v>
      </c>
      <c r="B9" s="27">
        <v>0</v>
      </c>
      <c r="C9" s="27">
        <v>0</v>
      </c>
      <c r="D9" s="27" t="s">
        <v>22</v>
      </c>
    </row>
    <row r="10" spans="1:4" x14ac:dyDescent="0.35">
      <c r="A10" s="27" t="s">
        <v>122</v>
      </c>
      <c r="B10" s="27">
        <v>0</v>
      </c>
      <c r="C10" s="27">
        <v>0</v>
      </c>
      <c r="D10" s="27" t="s">
        <v>22</v>
      </c>
    </row>
    <row r="11" spans="1:4" x14ac:dyDescent="0.35">
      <c r="A11" s="27" t="s">
        <v>124</v>
      </c>
      <c r="B11" s="27">
        <v>500</v>
      </c>
      <c r="C11" s="27">
        <v>50</v>
      </c>
      <c r="D11" s="27" t="s">
        <v>22</v>
      </c>
    </row>
    <row r="12" spans="1:4" x14ac:dyDescent="0.35">
      <c r="A12" s="27" t="s">
        <v>126</v>
      </c>
      <c r="B12" s="27">
        <v>0</v>
      </c>
      <c r="C12" s="27">
        <v>0</v>
      </c>
      <c r="D12" s="27" t="s">
        <v>22</v>
      </c>
    </row>
    <row r="13" spans="1:4" x14ac:dyDescent="0.35">
      <c r="A13" s="27" t="s">
        <v>38</v>
      </c>
      <c r="B13" s="27">
        <v>500</v>
      </c>
      <c r="C13" s="27">
        <v>50</v>
      </c>
      <c r="D13" s="27">
        <v>450</v>
      </c>
    </row>
    <row r="14" spans="1:4" x14ac:dyDescent="0.35">
      <c r="A14" t="s">
        <v>22</v>
      </c>
    </row>
    <row r="15" spans="1:4" x14ac:dyDescent="0.35">
      <c r="A15" t="s">
        <v>82</v>
      </c>
    </row>
    <row r="16" spans="1:4" x14ac:dyDescent="0.35">
      <c r="A16" t="s">
        <v>128</v>
      </c>
    </row>
    <row r="17" spans="1:3" x14ac:dyDescent="0.35">
      <c r="A17" t="s">
        <v>22</v>
      </c>
    </row>
    <row r="18" spans="1:3" x14ac:dyDescent="0.35">
      <c r="A18" t="s">
        <v>39</v>
      </c>
    </row>
    <row r="19" spans="1:3" x14ac:dyDescent="0.35">
      <c r="B19" t="s">
        <v>40</v>
      </c>
      <c r="C19" t="s">
        <v>22</v>
      </c>
    </row>
    <row r="20" spans="1:3" x14ac:dyDescent="0.35">
      <c r="A20" t="s">
        <v>41</v>
      </c>
      <c r="B20" s="2">
        <v>45219.74</v>
      </c>
      <c r="C20" t="s">
        <v>22</v>
      </c>
    </row>
    <row r="21" spans="1:3" x14ac:dyDescent="0.35">
      <c r="A21" t="s">
        <v>22</v>
      </c>
      <c r="B21" t="s">
        <v>22</v>
      </c>
      <c r="C21" t="s">
        <v>22</v>
      </c>
    </row>
    <row r="22" spans="1:3" x14ac:dyDescent="0.35">
      <c r="A22" t="s">
        <v>42</v>
      </c>
      <c r="C22" t="s">
        <v>22</v>
      </c>
    </row>
    <row r="23" spans="1:3" x14ac:dyDescent="0.35">
      <c r="A23" t="s">
        <v>43</v>
      </c>
      <c r="B23" s="2">
        <v>3376.4</v>
      </c>
      <c r="C23" t="s">
        <v>22</v>
      </c>
    </row>
    <row r="24" spans="1:3" x14ac:dyDescent="0.35">
      <c r="A24" t="s">
        <v>44</v>
      </c>
      <c r="B24">
        <v>21</v>
      </c>
      <c r="C24" t="s">
        <v>22</v>
      </c>
    </row>
    <row r="25" spans="1:3" x14ac:dyDescent="0.35">
      <c r="A25" t="s">
        <v>45</v>
      </c>
      <c r="B25" s="2">
        <v>3397.4</v>
      </c>
      <c r="C25" t="s">
        <v>22</v>
      </c>
    </row>
    <row r="26" spans="1:3" x14ac:dyDescent="0.35">
      <c r="A26" t="s">
        <v>22</v>
      </c>
      <c r="B26" t="s">
        <v>22</v>
      </c>
      <c r="C26" t="s">
        <v>22</v>
      </c>
    </row>
    <row r="27" spans="1:3" x14ac:dyDescent="0.35">
      <c r="A27" t="s">
        <v>46</v>
      </c>
      <c r="C27" t="s">
        <v>22</v>
      </c>
    </row>
    <row r="28" spans="1:3" x14ac:dyDescent="0.35">
      <c r="A28" t="s">
        <v>47</v>
      </c>
      <c r="B28" s="2">
        <v>1124.73</v>
      </c>
      <c r="C28" t="s">
        <v>22</v>
      </c>
    </row>
    <row r="29" spans="1:3" x14ac:dyDescent="0.35">
      <c r="A29" t="s">
        <v>48</v>
      </c>
      <c r="B29" s="2">
        <v>4133.49</v>
      </c>
      <c r="C29" t="s">
        <v>22</v>
      </c>
    </row>
    <row r="30" spans="1:3" x14ac:dyDescent="0.35">
      <c r="A30" t="s">
        <v>50</v>
      </c>
      <c r="B30" s="2">
        <v>5258.22</v>
      </c>
      <c r="C30" t="s">
        <v>22</v>
      </c>
    </row>
    <row r="31" spans="1:3" x14ac:dyDescent="0.35">
      <c r="A31" t="s">
        <v>22</v>
      </c>
      <c r="B31" t="s">
        <v>22</v>
      </c>
      <c r="C31" t="s">
        <v>22</v>
      </c>
    </row>
    <row r="32" spans="1:3" x14ac:dyDescent="0.35">
      <c r="A32" t="s">
        <v>51</v>
      </c>
      <c r="B32" s="2">
        <v>8655.6200000000008</v>
      </c>
      <c r="C32" t="s">
        <v>22</v>
      </c>
    </row>
    <row r="33" spans="1:3" x14ac:dyDescent="0.35">
      <c r="A33" t="s">
        <v>22</v>
      </c>
      <c r="B33" t="s">
        <v>22</v>
      </c>
      <c r="C33" t="s">
        <v>22</v>
      </c>
    </row>
    <row r="34" spans="1:3" x14ac:dyDescent="0.35">
      <c r="A34" t="s">
        <v>52</v>
      </c>
      <c r="C34" t="s">
        <v>22</v>
      </c>
    </row>
    <row r="35" spans="1:3" x14ac:dyDescent="0.35">
      <c r="A35" t="s">
        <v>98</v>
      </c>
      <c r="B35" s="2">
        <v>8655.6200000000008</v>
      </c>
      <c r="C35" t="s">
        <v>22</v>
      </c>
    </row>
    <row r="36" spans="1:3" x14ac:dyDescent="0.35">
      <c r="A36" t="s">
        <v>99</v>
      </c>
      <c r="B36" s="2">
        <v>8655.6200000000008</v>
      </c>
      <c r="C36" t="s">
        <v>22</v>
      </c>
    </row>
    <row r="37" spans="1:3" x14ac:dyDescent="0.35">
      <c r="A37" t="s">
        <v>100</v>
      </c>
      <c r="B37">
        <v>0</v>
      </c>
      <c r="C37" t="s">
        <v>22</v>
      </c>
    </row>
    <row r="38" spans="1:3" x14ac:dyDescent="0.35">
      <c r="A38" t="s">
        <v>22</v>
      </c>
      <c r="B38" t="s">
        <v>22</v>
      </c>
      <c r="C38" t="s">
        <v>22</v>
      </c>
    </row>
    <row r="39" spans="1:3" x14ac:dyDescent="0.35">
      <c r="A39" t="s">
        <v>53</v>
      </c>
      <c r="C39" t="s">
        <v>22</v>
      </c>
    </row>
    <row r="40" spans="1:3" x14ac:dyDescent="0.35">
      <c r="A40" t="s">
        <v>54</v>
      </c>
      <c r="B40">
        <v>954.4</v>
      </c>
      <c r="C40" t="s">
        <v>22</v>
      </c>
    </row>
    <row r="41" spans="1:3" x14ac:dyDescent="0.35">
      <c r="A41" t="s">
        <v>55</v>
      </c>
      <c r="B41">
        <v>715.84</v>
      </c>
      <c r="C41" t="s">
        <v>22</v>
      </c>
    </row>
    <row r="42" spans="1:3" x14ac:dyDescent="0.35">
      <c r="A42" t="s">
        <v>56</v>
      </c>
      <c r="B42" s="2">
        <v>1670.24</v>
      </c>
      <c r="C42" t="s">
        <v>22</v>
      </c>
    </row>
    <row r="43" spans="1:3" x14ac:dyDescent="0.35">
      <c r="A43" t="s">
        <v>22</v>
      </c>
      <c r="B43" t="s">
        <v>22</v>
      </c>
      <c r="C43" t="s">
        <v>22</v>
      </c>
    </row>
    <row r="44" spans="1:3" x14ac:dyDescent="0.35">
      <c r="A44" t="s">
        <v>57</v>
      </c>
      <c r="B44" s="2">
        <v>55545.599999999999</v>
      </c>
      <c r="C44" t="s">
        <v>22</v>
      </c>
    </row>
    <row r="45" spans="1:3" x14ac:dyDescent="0.35">
      <c r="A45" t="s">
        <v>22</v>
      </c>
      <c r="B45" t="s">
        <v>22</v>
      </c>
      <c r="C45" t="s">
        <v>22</v>
      </c>
    </row>
    <row r="46" spans="1:3" x14ac:dyDescent="0.35">
      <c r="A46" t="s">
        <v>101</v>
      </c>
      <c r="B46">
        <v>500</v>
      </c>
      <c r="C46" t="s">
        <v>22</v>
      </c>
    </row>
    <row r="47" spans="1:3" x14ac:dyDescent="0.35">
      <c r="A47" t="s">
        <v>102</v>
      </c>
      <c r="B47" s="2">
        <v>56045.599999999999</v>
      </c>
      <c r="C47" t="s">
        <v>22</v>
      </c>
    </row>
    <row r="48" spans="1:3" x14ac:dyDescent="0.35">
      <c r="A48" t="s">
        <v>22</v>
      </c>
    </row>
    <row r="49" spans="1:1" x14ac:dyDescent="0.35">
      <c r="A49" t="s">
        <v>58</v>
      </c>
    </row>
    <row r="50" spans="1:1" x14ac:dyDescent="0.35">
      <c r="A50" t="s">
        <v>22</v>
      </c>
    </row>
    <row r="51" spans="1:1" x14ac:dyDescent="0.35">
      <c r="A51" t="s">
        <v>86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wages HMRC control</vt:lpstr>
      <vt:lpstr>Dep extended</vt:lpstr>
      <vt:lpstr>Dep Additions</vt:lpstr>
      <vt:lpstr>Dep Pension contributions</vt:lpstr>
      <vt:lpstr>Dep Tax and NIC</vt:lpstr>
      <vt:lpstr>Dep  Subs and Loans</vt:lpstr>
      <vt:lpstr>'wages HMRC control'!Print_Area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Viktoriya Cherevko</dc:creator>
  <cp:lastModifiedBy>Viktoriya Cherevko</cp:lastModifiedBy>
  <cp:lastPrinted>2026-03-03T14:47:16Z</cp:lastPrinted>
  <dcterms:created xsi:type="dcterms:W3CDTF">2025-04-15T13:27:18Z</dcterms:created>
  <dcterms:modified xsi:type="dcterms:W3CDTF">2026-03-29T12:57:10Z</dcterms:modified>
</cp:coreProperties>
</file>